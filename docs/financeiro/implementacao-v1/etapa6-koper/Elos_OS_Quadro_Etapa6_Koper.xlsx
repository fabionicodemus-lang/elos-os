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companhamento" sheetId="1" state="visible" r:id="rId1"/>
    <sheet xmlns:r="http://schemas.openxmlformats.org/officeDocument/2006/relationships" name="Testes" sheetId="2" state="visible" r:id="rId2"/>
    <sheet xmlns:r="http://schemas.openxmlformats.org/officeDocument/2006/relationships" name="Evidencias" sheetId="3" state="visible" r:id="rId3"/>
    <sheet xmlns:r="http://schemas.openxmlformats.org/officeDocument/2006/relationships" name="Decisoes" sheetId="4" state="visible" r:id="rId4"/>
  </sheets>
  <definedNames/>
  <calcPr calcId="191029" fullCalcOnLoad="1" forceFullCalc="1"/>
</workbook>
</file>

<file path=xl/styles.xml><?xml version="1.0" encoding="utf-8"?>
<styleSheet xmlns="http://schemas.openxmlformats.org/spreadsheetml/2006/main">
  <numFmts count="1">
    <numFmt numFmtId="164" formatCode="dd/mm/yyyy"/>
  </numFmts>
  <fonts count="5">
    <font>
      <name val="Carlito"/>
      <sz val="11"/>
    </font>
    <font>
      <name val="Arial"/>
      <color rgb="FF183B4A"/>
      <sz val="10"/>
    </font>
    <font>
      <name val="Arial"/>
      <b val="1"/>
      <color rgb="FF152D38"/>
      <sz val="15"/>
    </font>
    <font>
      <name val="Arial"/>
      <b val="1"/>
      <color rgb="FFFFFFFF"/>
      <sz val="10"/>
    </font>
    <font>
      <name val="Arial"/>
      <i val="1"/>
      <color rgb="FF526A74"/>
      <sz val="10"/>
    </font>
  </fonts>
  <fills count="4">
    <fill>
      <patternFill/>
    </fill>
    <fill>
      <patternFill patternType="gray125"/>
    </fill>
    <fill>
      <patternFill patternType="solid">
        <fgColor rgb="FF244B5A"/>
      </patternFill>
    </fill>
    <fill>
      <patternFill patternType="solid">
        <fgColor rgb="FFFFF4CE"/>
      </patternFill>
    </fill>
  </fills>
  <borders count="3">
    <border>
      <left/>
      <right/>
      <top/>
      <bottom/>
      <diagonal/>
    </border>
    <border>
      <left/>
      <right/>
      <top/>
      <bottom style="thin">
        <color rgb="FFCFD9DC"/>
      </bottom>
      <diagonal/>
    </border>
    <border>
      <left/>
      <right/>
      <top style="thin">
        <color rgb="FFCFD9DC"/>
      </top>
      <bottom/>
      <diagonal/>
    </border>
  </borders>
  <cellStyleXfs count="1">
    <xf numFmtId="0" fontId="0" fillId="0" borderId="0"/>
  </cellStyleXfs>
  <cellXfs count="36">
    <xf numFmtId="0" fontId="0" fillId="0" borderId="0" pivotButton="0" quotePrefix="0" xfId="0"/>
    <xf numFmtId="0" fontId="1" fillId="0" borderId="0" pivotButton="0" quotePrefix="0" xfId="0"/>
    <xf numFmtId="0" fontId="1" fillId="0" borderId="0" applyAlignment="1" pivotButton="0" quotePrefix="0" xfId="0">
      <alignment vertical="center"/>
    </xf>
    <xf numFmtId="0" fontId="2" fillId="0" borderId="0" applyAlignment="1" pivotButton="0" quotePrefix="0" xfId="0">
      <alignment vertical="center"/>
    </xf>
    <xf numFmtId="0" fontId="1" fillId="0" borderId="1" applyAlignment="1" pivotButton="0" quotePrefix="0" xfId="0">
      <alignment vertical="center"/>
    </xf>
    <xf numFmtId="0" fontId="1" fillId="2" borderId="0" applyAlignment="1" pivotButton="0" quotePrefix="0" xfId="0">
      <alignment vertical="center"/>
    </xf>
    <xf numFmtId="0" fontId="3" fillId="2" borderId="0" applyAlignment="1" pivotButton="0" quotePrefix="0" xfId="0">
      <alignment vertical="center"/>
    </xf>
    <xf numFmtId="0" fontId="3" fillId="2" borderId="0" applyAlignment="1" pivotButton="0" quotePrefix="0" xfId="0">
      <alignment vertical="center" wrapText="1"/>
    </xf>
    <xf numFmtId="0" fontId="3" fillId="2" borderId="0" applyAlignment="1" pivotButton="0" quotePrefix="0" xfId="0">
      <alignment horizontal="center" vertical="center" wrapText="1"/>
    </xf>
    <xf numFmtId="0" fontId="1" fillId="0" borderId="0" applyAlignment="1" pivotButton="0" quotePrefix="0" xfId="0">
      <alignment vertical="center" wrapText="1"/>
    </xf>
    <xf numFmtId="0" fontId="1" fillId="0" borderId="0" applyAlignment="1" pivotButton="0" quotePrefix="0" xfId="0">
      <alignment vertical="top" wrapText="1"/>
    </xf>
    <xf numFmtId="0" fontId="4" fillId="0" borderId="0" applyAlignment="1" pivotButton="0" quotePrefix="0" xfId="0">
      <alignment vertical="center"/>
    </xf>
    <xf numFmtId="0" fontId="1" fillId="3" borderId="0" applyAlignment="1" pivotButton="0" quotePrefix="0" xfId="0">
      <alignment vertical="top" wrapText="1"/>
    </xf>
    <xf numFmtId="164" fontId="1" fillId="3" borderId="0" applyAlignment="1" pivotButton="0" quotePrefix="0" xfId="0">
      <alignment vertical="top" wrapText="1"/>
    </xf>
    <xf numFmtId="0" fontId="1" fillId="0" borderId="0" applyAlignment="1" pivotButton="0" quotePrefix="0" xfId="0">
      <alignment vertical="center"/>
    </xf>
    <xf numFmtId="0" fontId="1" fillId="0" borderId="0" applyAlignment="1" pivotButton="0" quotePrefix="0" xfId="0">
      <alignment vertical="center" wrapText="1"/>
    </xf>
    <xf numFmtId="0" fontId="1" fillId="0" borderId="0" applyAlignment="1" pivotButton="0" quotePrefix="0" xfId="0">
      <alignment vertical="top" wrapText="1"/>
    </xf>
    <xf numFmtId="1" fontId="1" fillId="0" borderId="0" applyAlignment="1" pivotButton="0" quotePrefix="0" xfId="0">
      <alignment vertical="top" wrapText="1"/>
    </xf>
    <xf numFmtId="1" fontId="1" fillId="3" borderId="0" applyAlignment="1" pivotButton="0" quotePrefix="0" xfId="0">
      <alignment vertical="top" wrapText="1"/>
    </xf>
    <xf numFmtId="1" fontId="1" fillId="0" borderId="0" applyAlignment="1" pivotButton="0" quotePrefix="0" xfId="0">
      <alignment vertical="top" wrapText="1"/>
    </xf>
    <xf numFmtId="0" fontId="1" fillId="0" borderId="2" applyAlignment="1" pivotButton="0" quotePrefix="0" xfId="0">
      <alignment vertical="top" wrapText="1"/>
    </xf>
    <xf numFmtId="1" fontId="1" fillId="0" borderId="2" applyAlignment="1" pivotButton="0" quotePrefix="0" xfId="0">
      <alignment vertical="top" wrapText="1"/>
    </xf>
    <xf numFmtId="1" fontId="1" fillId="3" borderId="2" applyAlignment="1" pivotButton="0" quotePrefix="0" xfId="0">
      <alignment vertical="top" wrapText="1"/>
    </xf>
    <xf numFmtId="0" fontId="1" fillId="3" borderId="2" applyAlignment="1" pivotButton="0" quotePrefix="0" xfId="0">
      <alignment vertical="top" wrapText="1"/>
    </xf>
    <xf numFmtId="164" fontId="1" fillId="3" borderId="2" applyAlignment="1" pivotButton="0" quotePrefix="0" xfId="0">
      <alignment vertical="top" wrapText="1"/>
    </xf>
    <xf numFmtId="2" fontId="1" fillId="0" borderId="0" applyAlignment="1" pivotButton="0" quotePrefix="0" xfId="0">
      <alignment vertical="top" wrapText="1"/>
    </xf>
    <xf numFmtId="2" fontId="1" fillId="3" borderId="0" applyAlignment="1" pivotButton="0" quotePrefix="0" xfId="0">
      <alignment vertical="top" wrapText="1"/>
    </xf>
    <xf numFmtId="1" fontId="1" fillId="3" borderId="0" applyAlignment="1" pivotButton="0" quotePrefix="0" xfId="0">
      <alignment vertical="top" wrapText="1"/>
    </xf>
    <xf numFmtId="164" fontId="1" fillId="3" borderId="0" applyAlignment="1" pivotButton="0" quotePrefix="0" xfId="0">
      <alignment vertical="top" wrapText="1"/>
    </xf>
    <xf numFmtId="1" fontId="1" fillId="0" borderId="2" applyAlignment="1" pivotButton="0" quotePrefix="0" xfId="0">
      <alignment vertical="top" wrapText="1"/>
    </xf>
    <xf numFmtId="1" fontId="1" fillId="3" borderId="2" applyAlignment="1" pivotButton="0" quotePrefix="0" xfId="0">
      <alignment vertical="top" wrapText="1"/>
    </xf>
    <xf numFmtId="164" fontId="1" fillId="3" borderId="2" applyAlignment="1" pivotButton="0" quotePrefix="0" xfId="0">
      <alignment vertical="top" wrapText="1"/>
    </xf>
    <xf numFmtId="1" fontId="1" fillId="0" borderId="0" applyAlignment="1" pivotButton="0" quotePrefix="0" xfId="0">
      <alignment vertical="top" wrapText="1"/>
    </xf>
    <xf numFmtId="1" fontId="1" fillId="3" borderId="0" applyAlignment="1" pivotButton="0" quotePrefix="0" xfId="0">
      <alignment vertical="top" wrapText="1"/>
    </xf>
    <xf numFmtId="2" fontId="1" fillId="0" borderId="0" applyAlignment="1" pivotButton="0" quotePrefix="0" xfId="0">
      <alignment vertical="top" wrapText="1"/>
    </xf>
    <xf numFmtId="2" fontId="1" fillId="3" borderId="0" applyAlignment="1" pivotButton="0" quotePrefix="0" xfId="0">
      <alignment vertical="top" wrapText="1"/>
    </xf>
  </cellXfs>
  <cellStyles count="1">
    <cellStyle name="Normal" xfId="0"/>
  </cellStyles>
  <dxfs count="7">
    <dxf>
      <fill>
        <patternFill patternType="solid">
          <bgColor rgb="FFFBE7D2"/>
        </patternFill>
      </fill>
    </dxf>
    <dxf>
      <font>
        <b val="1"/>
        <color rgb="FF9C2020"/>
      </font>
      <fill>
        <patternFill patternType="solid">
          <bgColor rgb="FFFCE4E4"/>
        </patternFill>
      </fill>
    </dxf>
    <dxf>
      <fill>
        <patternFill patternType="solid">
          <bgColor rgb="FFFBE7D2"/>
        </patternFill>
      </fill>
    </dxf>
    <dxf>
      <font>
        <b val="1"/>
        <color rgb="FF9C2020"/>
      </font>
      <fill>
        <patternFill patternType="solid">
          <bgColor rgb="FFFCE4E4"/>
        </patternFill>
      </fill>
    </dxf>
    <dxf>
      <font>
        <b val="1"/>
        <color rgb="FF9C2020"/>
      </font>
      <fill>
        <patternFill patternType="solid">
          <bgColor rgb="FFFCE4E4"/>
        </patternFill>
      </fill>
    </dxf>
    <dxf>
      <fill>
        <patternFill patternType="solid">
          <bgColor rgb="FFFBE7D2"/>
        </patternFill>
      </fill>
    </dxf>
    <dxf>
      <fill>
        <patternFill patternType="solid">
          <bgColor rgb="FFFBE7D2"/>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AcompanhamentoPlano" displayName="AcompanhamentoPlano" ref="A10:T55" headerRowCount="1" totalsRowCount="0" totalsRowShown="0">
  <autoFilter ref="A10:T55"/>
  <tableColumns count="20">
    <tableColumn id="1" name="ID"/>
    <tableColumn id="2" name="Tarefa"/>
    <tableColumn id="3" name="Onda"/>
    <tableColumn id="4" name="Depende de"/>
    <tableColumn id="5" name="Responsável"/>
    <tableColumn id="6" name="Estado declarado"/>
    <tableColumn id="7" name="Conclusão efetiva"/>
    <tableColumn id="8" name="Impedimento"/>
    <tableColumn id="9" name="Evidências anexadas"/>
    <tableColumn id="10" name="Aceite técnico"/>
    <tableColumn id="11" name="Validador técnico"/>
    <tableColumn id="12" name="Data do aceite técnico"/>
    <tableColumn id="13" name="Financeiro requerido"/>
    <tableColumn id="14" name="Aceite financeiro"/>
    <tableColumn id="15" name="Validador financeiro"/>
    <tableColumn id="16" name="Data do aceite financeiro"/>
    <tableColumn id="17" name="Evidências e aceites"/>
    <tableColumn id="18" name="Dependências verificadas"/>
    <tableColumn id="19" name="Observações"/>
    <tableColumn id="20" name="Casos de teste"/>
  </tableColumns>
  <tableStyleInfo name="TableStyleMedium2" showFirstColumn="0" showLastColumn="0" showRowStripes="1" showColumnStripes="0"/>
</table>
</file>

<file path=xl/tables/table2.xml><?xml version="1.0" encoding="utf-8"?>
<table xmlns="http://schemas.openxmlformats.org/spreadsheetml/2006/main" id="2" name="ResultadosTestes" displayName="ResultadosTestes" ref="A9:Q355" headerRowCount="1" totalsRowCount="0" totalsRowShown="0">
  <autoFilter ref="A9:Q355"/>
  <tableColumns count="17">
    <tableColumn id="1" name="Caso"/>
    <tableColumn id="2" name="Campo esperado ou etapa"/>
    <tableColumn id="3" name="Regra"/>
    <tableColumn id="4" name="Unidade"/>
    <tableColumn id="5" name="Relação"/>
    <tableColumn id="6" name="Esperado"/>
    <tableColumn id="7" name="Obtido no Elos"/>
    <tableColumn id="8" name="Diferença"/>
    <tableColumn id="9" name="Comparação com evidência"/>
    <tableColumn id="10" name="Evidência da execução"/>
    <tableColumn id="11" name="Executor"/>
    <tableColumn id="12" name="Data da execução"/>
    <tableColumn id="13" name="Cenário"/>
    <tableColumn id="14" name="Entradas fictícias"/>
    <tableColumn id="15" name="Operação"/>
    <tableColumn id="16" name="Cálculo independente"/>
    <tableColumn id="17" name="Premissas e verificações qualitativas"/>
  </tableColumns>
  <tableStyleInfo name="TableStyleMedium2" showFirstColumn="0" showLastColumn="0" showRowStripes="1" showColumnStripes="0"/>
</table>
</file>

<file path=xl/tables/table3.xml><?xml version="1.0" encoding="utf-8"?>
<table xmlns="http://schemas.openxmlformats.org/spreadsheetml/2006/main" id="3" name="EvidenciasPlano" displayName="EvidenciasPlano" ref="A13:I58" headerRowCount="1" totalsRowCount="0" totalsRowShown="0">
  <autoFilter ref="A13:I58"/>
  <tableColumns count="9">
    <tableColumn id="1" name="ID"/>
    <tableColumn id="2" name="Problema"/>
    <tableColumn id="3" name="Resultado esperado"/>
    <tableColumn id="4" name="Escopo"/>
    <tableColumn id="5" name="Dados necessários"/>
    <tableColumn id="6" name="Critério de aceite"/>
    <tableColumn id="7" name="Evidência necessária para concluir"/>
    <tableColumn id="8" name="Fontes e regras"/>
    <tableColumn id="9" name="Casos de teste"/>
  </tableColumns>
  <tableStyleInfo name="TableStyleMedium2" showFirstColumn="0" showLastColumn="0" showRowStripes="1" showColumnStripes="0"/>
</table>
</file>

<file path=xl/tables/table4.xml><?xml version="1.0" encoding="utf-8"?>
<table xmlns="http://schemas.openxmlformats.org/spreadsheetml/2006/main" id="4" name="DecisoesPlano" displayName="DecisoesPlano" ref="A8:L22" headerRowCount="1" totalsRowCount="0" totalsRowShown="0">
  <autoFilter ref="A8:L22"/>
  <tableColumns count="12">
    <tableColumn id="1" name="ID"/>
    <tableColumn id="2" name="Tema"/>
    <tableColumn id="3" name="Parâmetro a registrar"/>
    <tableColumn id="4" name="Premissa fictícia dos testes"/>
    <tableColumn id="5" name="Área responsável"/>
    <tableColumn id="6" name="Escolha registrada"/>
    <tableColumn id="7" name="Validador"/>
    <tableColumn id="8" name="Data da validação"/>
    <tableColumn id="9" name="Vigência"/>
    <tableColumn id="10" name="Evidência da decisão"/>
    <tableColumn id="11" name="Estado do registro"/>
    <tableColumn id="12" name="Observaçõ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tabColor rgb="FF244B5A"/>
    <outlinePr summaryBelow="1" summaryRight="1"/>
    <pageSetUpPr/>
  </sheetPr>
  <dimension ref="A1:T55"/>
  <sheetViews>
    <sheetView showGridLines="0" workbookViewId="0">
      <pane xSplit="2" ySplit="10" topLeftCell="C11" activePane="bottomRight" state="frozen"/>
      <selection activeCell="A1" sqref="A1"/>
    </sheetView>
  </sheetViews>
  <sheetFormatPr baseColWidth="8" defaultRowHeight="15"/>
  <cols>
    <col width="10" customWidth="1" min="1" max="1"/>
    <col width="48" customWidth="1" min="2" max="2"/>
    <col width="12" customWidth="1" min="3" max="3"/>
    <col width="26" customWidth="1" min="4" max="4"/>
    <col width="24" customWidth="1" min="5" max="5"/>
    <col width="20" customWidth="1" min="6" max="6"/>
    <col width="24" customWidth="1" min="7" max="7"/>
    <col width="40" customWidth="1" min="8" max="8"/>
    <col width="44" customWidth="1" min="9" max="9"/>
    <col width="18" customWidth="1" min="10" max="10"/>
    <col width="24" customWidth="1" min="11" max="11"/>
    <col width="18" customWidth="1" min="12" max="12"/>
    <col width="18" customWidth="1" min="13" max="13"/>
    <col width="18" customWidth="1" min="14" max="14"/>
    <col width="24" customWidth="1" min="15" max="15"/>
    <col width="19" customWidth="1" min="16" max="16"/>
    <col width="24" customWidth="1" min="17" max="17"/>
    <col width="24" customWidth="1" min="18" max="18"/>
    <col width="45" customWidth="1" min="19" max="19"/>
    <col width="27" customWidth="1" min="20" max="20"/>
  </cols>
  <sheetData>
    <row r="1" ht="10" customHeight="1">
      <c r="A1" s="14" t="n"/>
      <c r="B1" s="14" t="n"/>
      <c r="C1" s="14" t="n"/>
      <c r="D1" s="14" t="n"/>
      <c r="E1" s="14" t="n"/>
      <c r="F1" s="14" t="n"/>
      <c r="G1" s="14" t="n"/>
      <c r="H1" s="14" t="n"/>
      <c r="I1" s="14" t="n"/>
      <c r="J1" s="14" t="n"/>
      <c r="K1" s="14" t="n"/>
      <c r="L1" s="14" t="n"/>
      <c r="M1" s="14" t="n"/>
      <c r="N1" s="14" t="n"/>
      <c r="O1" s="14" t="n"/>
      <c r="P1" s="14" t="n"/>
      <c r="Q1" s="14" t="n"/>
      <c r="R1" s="14" t="n"/>
      <c r="S1" s="14" t="n"/>
      <c r="T1" s="14" t="n"/>
    </row>
    <row r="2" ht="25" customHeight="1">
      <c r="A2" s="3" t="inlineStr">
        <is>
          <t>Implementação financeira do Elos OS</t>
        </is>
      </c>
      <c r="B2" s="14" t="n"/>
      <c r="C2" s="14" t="n"/>
      <c r="D2" s="14" t="n"/>
      <c r="E2" s="14" t="n"/>
      <c r="F2" s="14" t="n"/>
      <c r="G2" s="14" t="n"/>
      <c r="H2" s="14" t="n"/>
      <c r="I2" s="14" t="n"/>
      <c r="J2" s="14" t="n"/>
      <c r="K2" s="14" t="n"/>
      <c r="L2" s="14" t="n"/>
      <c r="M2" s="14" t="n"/>
      <c r="N2" s="14" t="n"/>
      <c r="O2" s="14" t="n"/>
      <c r="P2" s="14" t="n"/>
      <c r="Q2" s="14" t="n"/>
      <c r="R2" s="14" t="n"/>
      <c r="S2" s="14" t="n"/>
      <c r="T2" s="14" t="n"/>
    </row>
    <row r="3">
      <c r="A3" s="4" t="n"/>
      <c r="B3" s="4" t="n"/>
      <c r="C3" s="4" t="n"/>
      <c r="D3" s="4" t="n"/>
      <c r="E3" s="4" t="n"/>
      <c r="F3" s="4" t="n"/>
      <c r="G3" s="4" t="n"/>
      <c r="H3" s="4" t="n"/>
      <c r="I3" s="4" t="n"/>
      <c r="J3" s="4" t="n"/>
      <c r="K3" s="4" t="n"/>
      <c r="L3" s="4" t="n"/>
      <c r="M3" s="4" t="n"/>
      <c r="N3" s="4" t="n"/>
      <c r="O3" s="4" t="n"/>
      <c r="P3" s="4" t="n"/>
      <c r="Q3" s="4" t="n"/>
      <c r="R3" s="4" t="n"/>
      <c r="S3" s="4" t="n"/>
      <c r="T3" s="4" t="n"/>
    </row>
    <row r="4">
      <c r="A4" s="14" t="n"/>
      <c r="B4" s="14" t="inlineStr">
        <is>
          <t>Tarefas com conclusão comprovada</t>
        </is>
      </c>
      <c r="C4" s="14">
        <f>COUNTIFS(G11:G55,"Concluída")</f>
        <v/>
      </c>
      <c r="D4" s="14" t="n"/>
      <c r="E4" s="14" t="inlineStr">
        <is>
          <t>Total de tarefas</t>
        </is>
      </c>
      <c r="F4" s="14" t="n">
        <v>45</v>
      </c>
      <c r="G4" s="14" t="n"/>
      <c r="H4" s="14" t="inlineStr">
        <is>
          <t>Liberadas para iniciar</t>
        </is>
      </c>
      <c r="I4" s="14">
        <f>COUNTIFS(R11:R55,"Liberadas",F11:F55,"Não iniciada")</f>
        <v/>
      </c>
      <c r="J4" s="14" t="n"/>
      <c r="K4" s="14" t="n"/>
      <c r="L4" s="14" t="n"/>
      <c r="M4" s="14" t="n"/>
      <c r="N4" s="14" t="n"/>
      <c r="O4" s="14" t="n"/>
      <c r="P4" s="14" t="n"/>
      <c r="Q4" s="14" t="n"/>
      <c r="R4" s="14" t="n"/>
      <c r="S4" s="14" t="n"/>
      <c r="T4" s="14" t="n"/>
    </row>
    <row r="5">
      <c r="A5" s="14" t="n"/>
      <c r="B5" s="14" t="n"/>
      <c r="C5" s="14" t="n"/>
      <c r="D5" s="14" t="n"/>
      <c r="E5" s="14" t="n"/>
      <c r="F5" s="14" t="n"/>
      <c r="G5" s="14" t="n"/>
      <c r="H5" s="14" t="n"/>
      <c r="I5" s="14" t="n"/>
      <c r="J5" s="14" t="n"/>
      <c r="K5" s="14" t="n"/>
      <c r="L5" s="14" t="n"/>
      <c r="M5" s="14" t="n"/>
      <c r="N5" s="14" t="n"/>
      <c r="O5" s="14" t="n"/>
      <c r="P5" s="14" t="n"/>
      <c r="Q5" s="14" t="n"/>
      <c r="R5" s="14" t="n"/>
      <c r="S5" s="14" t="n"/>
      <c r="T5" s="14" t="n"/>
    </row>
    <row r="6">
      <c r="A6" s="11" t="inlineStr">
        <is>
          <t>Campos amarelos são editáveis. Conclusão exige evidências, responsável, aceites e dependências comprovadas.</t>
        </is>
      </c>
      <c r="B6" s="14" t="n"/>
      <c r="C6" s="14" t="n"/>
      <c r="D6" s="14" t="n"/>
      <c r="E6" s="14" t="n"/>
      <c r="F6" s="14" t="n"/>
      <c r="G6" s="14" t="n"/>
      <c r="H6" s="14" t="n"/>
      <c r="I6" s="14" t="n"/>
      <c r="J6" s="14" t="n"/>
      <c r="K6" s="14" t="n"/>
      <c r="L6" s="14" t="n"/>
      <c r="M6" s="14" t="n"/>
      <c r="N6" s="14" t="n"/>
      <c r="O6" s="14" t="n"/>
      <c r="P6" s="14" t="n"/>
      <c r="Q6" s="14" t="n"/>
      <c r="R6" s="14" t="n"/>
      <c r="S6" s="14" t="n"/>
      <c r="T6" s="14" t="n"/>
    </row>
    <row r="7">
      <c r="A7" s="11" t="inlineStr">
        <is>
          <t>O quadro começa sem comprovação de tarefas; isso não mede quanto do sistema já funciona. O reuso deve passar pelo mesmo aceite.</t>
        </is>
      </c>
      <c r="B7" s="14" t="n"/>
      <c r="C7" s="14" t="n"/>
      <c r="D7" s="14" t="n"/>
      <c r="E7" s="14" t="n"/>
      <c r="F7" s="14" t="n"/>
      <c r="G7" s="14" t="n"/>
      <c r="H7" s="14" t="n"/>
      <c r="I7" s="14" t="n"/>
      <c r="J7" s="14" t="n"/>
      <c r="K7" s="14" t="n"/>
      <c r="L7" s="14" t="n"/>
      <c r="M7" s="14" t="n"/>
      <c r="N7" s="14" t="n"/>
      <c r="O7" s="14" t="n"/>
      <c r="P7" s="14" t="n"/>
      <c r="Q7" s="14" t="n"/>
      <c r="R7" s="14" t="n"/>
      <c r="S7" s="14" t="n"/>
      <c r="T7" s="14" t="n"/>
    </row>
    <row r="8">
      <c r="A8" s="11" t="inlineStr">
        <is>
          <t>As dependências verificam todos os ancestrais por ID. Ao alterar o grafo ou acrescentar tarefas, atualize as fórmulas desta versão.</t>
        </is>
      </c>
      <c r="B8" s="14" t="n"/>
      <c r="C8" s="14" t="n"/>
      <c r="D8" s="14" t="n"/>
      <c r="E8" s="14" t="n"/>
      <c r="F8" s="14" t="n"/>
      <c r="G8" s="14" t="n"/>
      <c r="H8" s="14" t="n"/>
      <c r="I8" s="14" t="n"/>
      <c r="J8" s="14" t="n"/>
      <c r="K8" s="14" t="n"/>
      <c r="L8" s="14" t="n"/>
      <c r="M8" s="14" t="n"/>
      <c r="N8" s="14" t="n"/>
      <c r="O8" s="14" t="n"/>
      <c r="P8" s="14" t="n"/>
      <c r="Q8" s="14" t="n"/>
      <c r="R8" s="14" t="n"/>
      <c r="S8" s="14" t="n"/>
      <c r="T8" s="14" t="n"/>
    </row>
    <row r="9">
      <c r="A9" s="14" t="n"/>
      <c r="B9" s="14" t="n"/>
      <c r="C9" s="14" t="n"/>
      <c r="D9" s="14" t="n"/>
      <c r="E9" s="14" t="n"/>
      <c r="F9" s="14" t="n"/>
      <c r="G9" s="14" t="n"/>
      <c r="H9" s="14" t="n"/>
      <c r="I9" s="14" t="n"/>
      <c r="J9" s="14" t="n"/>
      <c r="K9" s="14" t="n"/>
      <c r="L9" s="14" t="n"/>
      <c r="M9" s="14" t="n"/>
      <c r="N9" s="14" t="n"/>
      <c r="O9" s="14" t="n"/>
      <c r="P9" s="14" t="n"/>
      <c r="Q9" s="14" t="n"/>
      <c r="R9" s="14" t="n"/>
      <c r="S9" s="14" t="n"/>
      <c r="T9" s="14" t="n"/>
    </row>
    <row r="10" ht="38" customHeight="1">
      <c r="A10" s="8" t="inlineStr">
        <is>
          <t>ID</t>
        </is>
      </c>
      <c r="B10" s="8" t="inlineStr">
        <is>
          <t>Tarefa</t>
        </is>
      </c>
      <c r="C10" s="8" t="inlineStr">
        <is>
          <t>Onda</t>
        </is>
      </c>
      <c r="D10" s="8" t="inlineStr">
        <is>
          <t>Depende de</t>
        </is>
      </c>
      <c r="E10" s="8" t="inlineStr">
        <is>
          <t>Responsável</t>
        </is>
      </c>
      <c r="F10" s="8" t="inlineStr">
        <is>
          <t>Estado declarado</t>
        </is>
      </c>
      <c r="G10" s="8" t="inlineStr">
        <is>
          <t>Conclusão efetiva</t>
        </is>
      </c>
      <c r="H10" s="8" t="inlineStr">
        <is>
          <t>Impedimento</t>
        </is>
      </c>
      <c r="I10" s="8" t="inlineStr">
        <is>
          <t>Evidências anexadas</t>
        </is>
      </c>
      <c r="J10" s="8" t="inlineStr">
        <is>
          <t>Aceite técnico</t>
        </is>
      </c>
      <c r="K10" s="8" t="inlineStr">
        <is>
          <t>Validador técnico</t>
        </is>
      </c>
      <c r="L10" s="8" t="inlineStr">
        <is>
          <t>Data do aceite técnico</t>
        </is>
      </c>
      <c r="M10" s="8" t="inlineStr">
        <is>
          <t>Financeiro requerido</t>
        </is>
      </c>
      <c r="N10" s="8" t="inlineStr">
        <is>
          <t>Aceite financeiro</t>
        </is>
      </c>
      <c r="O10" s="8" t="inlineStr">
        <is>
          <t>Validador financeiro</t>
        </is>
      </c>
      <c r="P10" s="8" t="inlineStr">
        <is>
          <t>Data do aceite financeiro</t>
        </is>
      </c>
      <c r="Q10" s="8" t="inlineStr">
        <is>
          <t>Evidências e aceites</t>
        </is>
      </c>
      <c r="R10" s="8" t="inlineStr">
        <is>
          <t>Dependências verificadas</t>
        </is>
      </c>
      <c r="S10" s="8" t="inlineStr">
        <is>
          <t>Observações</t>
        </is>
      </c>
      <c r="T10" s="8" t="inlineStr">
        <is>
          <t>Casos de teste</t>
        </is>
      </c>
    </row>
    <row r="11" ht="56" customHeight="1">
      <c r="A11" s="16" t="inlineStr">
        <is>
          <t>T01</t>
        </is>
      </c>
      <c r="B11" s="16" t="inlineStr">
        <is>
          <t>Inventariar capacidades e reproduzir o diagnóstico</t>
        </is>
      </c>
      <c r="C11" s="16" t="inlineStr">
        <is>
          <t>1 Base e segurança</t>
        </is>
      </c>
      <c r="D11" s="16" t="str"/>
      <c r="E11" s="12" t="str"/>
      <c r="F11" s="12" t="inlineStr">
        <is>
          <t>Em validação</t>
        </is>
      </c>
      <c r="G11" s="16">
        <f>IF(F11="Bloqueada","Bloqueada",IF(AND(OR(F11="Concluída",F11="Reaproveitada"),Q11="Suficientes",R11="Liberadas"),"Concluída",IF(R11&lt;&gt;"Liberadas","Aguardando dependência",IF(OR(F11="Concluída",F11="Reaproveitada"),"Em validação",F11))))</f>
        <v/>
      </c>
      <c r="H11" s="16">
        <f>IF(G11="Concluída","",IF(Q11="ID inválido","Corrigir ID duplicado",IF(R11&lt;&gt;"Liberadas","Dependências sem conclusão comprovada",IF(F11="Bloqueada","Registrar bloqueio em observações",IF(NOT(OR(F11="Concluída",F11="Reaproveitada")),"Execução ainda não concluída",IF(E11="","Definir responsável",IF(I11="","Anexar evidências",IF(J11&lt;&gt;"Aceito","Aceite técnico pendente",IF(OR(K11="",NOT(ISNUMBER(L11)),L11&lt;=0),"Registrar validador e data técnicos","Aceite financeiro pendente")))))))))</f>
        <v/>
      </c>
      <c r="I11" s="12" t="inlineStr">
        <is>
          <t>docs/financeiro/implementacao-v1/t01-t02/README.md; matriz-diagnostico.json; parametros.json; evidencias/</t>
        </is>
      </c>
      <c r="J11" s="12" t="inlineStr">
        <is>
          <t>Pendente</t>
        </is>
      </c>
      <c r="K11" s="12" t="str"/>
      <c r="L11" s="28" t="n"/>
      <c r="M11" s="16" t="inlineStr">
        <is>
          <t>Não</t>
        </is>
      </c>
      <c r="N11" s="12" t="inlineStr">
        <is>
          <t>Não aplicável</t>
        </is>
      </c>
      <c r="O11" s="12" t="str"/>
      <c r="P11" s="28" t="n"/>
      <c r="Q11" s="16">
        <f>IF(COUNTIFS($A$11:$A$55,A11)&lt;&gt;1,"ID inválido",IF(AND(OR(F11="Concluída",F11="Reaproveitada"),E11&lt;&gt;"",I11&lt;&gt;"",J11="Aceito",K11&lt;&gt;"",ISNUMBER(L11),L11&gt;0,OR(M11="Não",AND(M11="Sim",N11="Aceito",O11&lt;&gt;"",ISNUMBER(P11),P11&gt;0))),"Suficientes","Pendentes"))</f>
        <v/>
      </c>
      <c r="R11" s="16">
        <f>"Liberadas"</f>
        <v/>
      </c>
      <c r="S11" s="12" t="inlineStr">
        <is>
          <t>Levantamento entregue; sem conclusão/aceite automático. T01: dados atuais e logs indisponíveis; T02: D01–D14 e aceite financeiro nominal pendentes. CTs não executados integralmente.</t>
        </is>
      </c>
      <c r="T11" s="16" t="inlineStr">
        <is>
          <t>CT01, CT21, CT24, CT26</t>
        </is>
      </c>
    </row>
    <row r="12" ht="56" customHeight="1">
      <c r="A12" s="16" t="inlineStr">
        <is>
          <t>T02</t>
        </is>
      </c>
      <c r="B12" s="16" t="inlineStr">
        <is>
          <t>Fixar a versão normativa e os parâmetros de implantação</t>
        </is>
      </c>
      <c r="C12" s="16" t="inlineStr">
        <is>
          <t>1 Base e segurança</t>
        </is>
      </c>
      <c r="D12" s="16" t="str"/>
      <c r="E12" s="12" t="str"/>
      <c r="F12" s="12" t="inlineStr">
        <is>
          <t>Em validação</t>
        </is>
      </c>
      <c r="G12" s="16">
        <f>IF(F12="Bloqueada","Bloqueada",IF(AND(OR(F12="Concluída",F12="Reaproveitada"),Q12="Suficientes",R12="Liberadas"),"Concluída",IF(R12&lt;&gt;"Liberadas","Aguardando dependência",IF(OR(F12="Concluída",F12="Reaproveitada"),"Em validação",F12))))</f>
        <v/>
      </c>
      <c r="H12" s="16">
        <f>IF(G12="Concluída","",IF(Q12="ID inválido","Corrigir ID duplicado",IF(R12&lt;&gt;"Liberadas","Dependências sem conclusão comprovada",IF(F12="Bloqueada","Registrar bloqueio em observações",IF(NOT(OR(F12="Concluída",F12="Reaproveitada")),"Execução ainda não concluída",IF(E12="","Definir responsável",IF(I12="","Anexar evidências",IF(J12&lt;&gt;"Aceito","Aceite técnico pendente",IF(OR(K12="",NOT(ISNUMBER(L12)),L12&lt;=0),"Registrar validador e data técnicos","Aceite financeiro pendente")))))))))</f>
        <v/>
      </c>
      <c r="I12" s="12" t="inlineStr">
        <is>
          <t>docs/financeiro/implementacao-v1/t01-t02/README.md; matriz-diagnostico.json; parametros.json; evidencias/</t>
        </is>
      </c>
      <c r="J12" s="12" t="inlineStr">
        <is>
          <t>Pendente</t>
        </is>
      </c>
      <c r="K12" s="12" t="str"/>
      <c r="L12" s="28" t="n"/>
      <c r="M12" s="16" t="inlineStr">
        <is>
          <t>Sim</t>
        </is>
      </c>
      <c r="N12" s="12" t="inlineStr">
        <is>
          <t>Pendente</t>
        </is>
      </c>
      <c r="O12" s="12" t="str"/>
      <c r="P12" s="28" t="n"/>
      <c r="Q12" s="16">
        <f>IF(COUNTIFS($A$11:$A$55,A12)&lt;&gt;1,"ID inválido",IF(AND(OR(F12="Concluída",F12="Reaproveitada"),E12&lt;&gt;"",I12&lt;&gt;"",J12="Aceito",K12&lt;&gt;"",ISNUMBER(L12),L12&gt;0,OR(M12="Não",AND(M12="Sim",N12="Aceito",O12&lt;&gt;"",ISNUMBER(P12),P12&gt;0))),"Suficientes","Pendentes"))</f>
        <v/>
      </c>
      <c r="R12" s="16">
        <f>"Liberadas"</f>
        <v/>
      </c>
      <c r="S12" s="12" t="inlineStr">
        <is>
          <t>Levantamento entregue; sem conclusão/aceite automático. T01: dados atuais e logs indisponíveis; T02: D01–D14 e aceite financeiro nominal pendentes. CTs não executados integralmente.</t>
        </is>
      </c>
      <c r="T12" s="16" t="inlineStr">
        <is>
          <t>CT04, CT11, CT20</t>
        </is>
      </c>
    </row>
    <row r="13" ht="120" customHeight="1">
      <c r="A13" s="16" t="inlineStr">
        <is>
          <t>T03</t>
        </is>
      </c>
      <c r="B13" s="16" t="inlineStr">
        <is>
          <t>Instalar os casos fictícios e o contrato do resultado esperado</t>
        </is>
      </c>
      <c r="C13" s="16" t="inlineStr">
        <is>
          <t>1 Base e segurança</t>
        </is>
      </c>
      <c r="D13" s="16" t="inlineStr">
        <is>
          <t>T01, T02</t>
        </is>
      </c>
      <c r="E13" s="12" t="str"/>
      <c r="F13" s="12" t="inlineStr">
        <is>
          <t>Em validação</t>
        </is>
      </c>
      <c r="G13" s="16">
        <f>IF(F13="Bloqueada","Bloqueada",IF(AND(OR(F13="Concluída",F13="Reaproveitada"),Q13="Suficientes",R13="Liberadas"),"Concluída",IF(R13&lt;&gt;"Liberadas","Aguardando dependência",IF(OR(F13="Concluída",F13="Reaproveitada"),"Em validação",F13))))</f>
        <v/>
      </c>
      <c r="H13" s="16">
        <f>IF(G13="Concluída","",IF(Q13="ID inválido","Corrigir ID duplicado",IF(R13&lt;&gt;"Liberadas","Dependências sem conclusão comprovada",IF(F13="Bloqueada","Registrar bloqueio em observações",IF(NOT(OR(F13="Concluída",F13="Reaproveitada")),"Execução ainda não concluída",IF(E13="","Definir responsável",IF(I13="","Anexar evidências",IF(J13&lt;&gt;"Aceito","Aceite técnico pendente",IF(OR(K13="",NOT(ISNUMBER(L13)),L13&lt;=0),"Registrar validador e data técnicos","Aceite financeiro pendente")))))))))</f>
        <v/>
      </c>
      <c r="I13" s="12" t="inlineStr">
        <is>
          <t>docs/financeiro/implementacao-v1/base-validacao/README.md; evidencias/banco-final.json; evidencias/fundacao-final.log</t>
        </is>
      </c>
      <c r="J13" s="12" t="inlineStr">
        <is>
          <t>Pendente</t>
        </is>
      </c>
      <c r="K13" s="12" t="str"/>
      <c r="L13" s="28" t="n"/>
      <c r="M13" s="16" t="inlineStr">
        <is>
          <t>Não</t>
        </is>
      </c>
      <c r="N13" s="12" t="inlineStr">
        <is>
          <t>Não aplicável</t>
        </is>
      </c>
      <c r="O13" s="12" t="str"/>
      <c r="P13" s="28" t="n"/>
      <c r="Q13" s="16">
        <f>IF(COUNTIFS($A$11:$A$55,A13)&lt;&gt;1,"ID inválido",IF(AND(OR(F13="Concluída",F13="Reaproveitada"),E13&lt;&gt;"",I13&lt;&gt;"",J13="Aceito",K13&lt;&gt;"",ISNUMBER(L13),L13&gt;0,OR(M13="Não",AND(M13="Sim",N13="Aceito",O13&lt;&gt;"",ISNUMBER(P13),P13&gt;0))),"Suficientes","Pendentes"))</f>
        <v/>
      </c>
      <c r="R13" s="16">
        <f>IF(SUM(COUNTIFS($A$11:$A$55,"T01",$Q$11:$Q$55,"Suficientes"),COUNTIFS($A$11:$A$55,"T02",$Q$11:$Q$55,"Suficientes"))=2,"Liberadas","Pendentes")</f>
        <v/>
      </c>
      <c r="S13" s="12" t="inlineStr">
        <is>
          <t>30 definições e oráculos intactos; 3 controles do comparador; 3 casos parciais/27 não executados. Sem certificado integral. Trabalho isolado autorizado nesta etapa; aceites/dependências formais não declarados concluídos.</t>
        </is>
      </c>
      <c r="T13" s="16" t="inlineStr">
        <is>
          <t>CT01, CT02, CT03, CT04, CT05, CT06, CT07, CT08, CT09, CT10, CT11, CT12, CT13, CT14, CT15, CT16, CT17, CT18, CT19, CT20, CT21, CT22, CT23, CT24, CT25, CT26, CT27, CT28, CT29, CT30</t>
        </is>
      </c>
    </row>
    <row r="14" ht="56" customHeight="1">
      <c r="A14" s="16" t="inlineStr">
        <is>
          <t>T04</t>
        </is>
      </c>
      <c r="B14" s="16" t="inlineStr">
        <is>
          <t>Preservar identidade de organização entidade e origem</t>
        </is>
      </c>
      <c r="C14" s="16" t="inlineStr">
        <is>
          <t>1 Base e segurança</t>
        </is>
      </c>
      <c r="D14" s="16" t="inlineStr">
        <is>
          <t>T01, T02</t>
        </is>
      </c>
      <c r="E14" s="12" t="str"/>
      <c r="F14" s="12" t="inlineStr">
        <is>
          <t>Em validação</t>
        </is>
      </c>
      <c r="G14" s="16">
        <f>IF(F14="Bloqueada","Bloqueada",IF(AND(OR(F14="Concluída",F14="Reaproveitada"),Q14="Suficientes",R14="Liberadas"),"Concluída",IF(R14&lt;&gt;"Liberadas","Aguardando dependência",IF(OR(F14="Concluída",F14="Reaproveitada"),"Em validação",F14))))</f>
        <v/>
      </c>
      <c r="H14" s="16">
        <f>IF(G14="Concluída","",IF(Q14="ID inválido","Corrigir ID duplicado",IF(R14&lt;&gt;"Liberadas","Dependências sem conclusão comprovada",IF(F14="Bloqueada","Registrar bloqueio em observações",IF(NOT(OR(F14="Concluída",F14="Reaproveitada")),"Execução ainda não concluída",IF(E14="","Definir responsável",IF(I14="","Anexar evidências",IF(J14&lt;&gt;"Aceito","Aceite técnico pendente",IF(OR(K14="",NOT(ISNUMBER(L14)),L14&lt;=0),"Registrar validador e data técnicos","Aceite financeiro pendente")))))))))</f>
        <v/>
      </c>
      <c r="I14" s="12" t="inlineStr">
        <is>
          <t>docs/financeiro/implementacao-v1/base-validacao/README.md; evidencias/banco-final.json; evidencias/fundacao-final.log</t>
        </is>
      </c>
      <c r="J14" s="12" t="inlineStr">
        <is>
          <t>Pendente</t>
        </is>
      </c>
      <c r="K14" s="12" t="str"/>
      <c r="L14" s="28" t="n"/>
      <c r="M14" s="16" t="inlineStr">
        <is>
          <t>Não</t>
        </is>
      </c>
      <c r="N14" s="12" t="inlineStr">
        <is>
          <t>Não aplicável</t>
        </is>
      </c>
      <c r="O14" s="12" t="str"/>
      <c r="P14" s="28" t="n"/>
      <c r="Q14" s="16">
        <f>IF(COUNTIFS($A$11:$A$55,A14)&lt;&gt;1,"ID inválido",IF(AND(OR(F14="Concluída",F14="Reaproveitada"),E14&lt;&gt;"",I14&lt;&gt;"",J14="Aceito",K14&lt;&gt;"",ISNUMBER(L14),L14&gt;0,OR(M14="Não",AND(M14="Sim",N14="Aceito",O14&lt;&gt;"",ISNUMBER(P14),P14&gt;0))),"Suficientes","Pendentes"))</f>
        <v/>
      </c>
      <c r="R14" s="16">
        <f>IF(SUM(COUNTIFS($A$11:$A$55,"T01",$Q$11:$Q$55,"Suficientes"),COUNTIFS($A$11:$A$55,"T02",$Q$11:$Q$55,"Suficientes"))=2,"Liberadas","Pendentes")</f>
        <v/>
      </c>
      <c r="S14" s="12" t="inlineStr">
        <is>
          <t>Chaves existentes e vínculos conferidos em PostgreSQL; quarentena/perímetro integral pendentes. Trabalho isolado autorizado nesta etapa; aceites/dependências formais não declarados concluídos.</t>
        </is>
      </c>
      <c r="T14" s="16" t="inlineStr">
        <is>
          <t>CT01, CT02, CT24</t>
        </is>
      </c>
    </row>
    <row r="15" ht="56" customHeight="1">
      <c r="A15" s="16" t="inlineStr">
        <is>
          <t>T05</t>
        </is>
      </c>
      <c r="B15" s="16" t="inlineStr">
        <is>
          <t>Aplicar o escopo de acesso no servidor</t>
        </is>
      </c>
      <c r="C15" s="16" t="inlineStr">
        <is>
          <t>1 Base e segurança</t>
        </is>
      </c>
      <c r="D15" s="16" t="inlineStr">
        <is>
          <t>T03, T04</t>
        </is>
      </c>
      <c r="E15" s="12" t="str"/>
      <c r="F15" s="12" t="inlineStr">
        <is>
          <t>Em andamento</t>
        </is>
      </c>
      <c r="G15" s="16">
        <f>IF(F15="Bloqueada","Bloqueada",IF(AND(OR(F15="Concluída",F15="Reaproveitada"),Q15="Suficientes",R15="Liberadas"),"Concluída",IF(R15&lt;&gt;"Liberadas","Aguardando dependência",IF(OR(F15="Concluída",F15="Reaproveitada"),"Em validação",F15))))</f>
        <v/>
      </c>
      <c r="H15" s="16">
        <f>IF(G15="Concluída","",IF(Q15="ID inválido","Corrigir ID duplicado",IF(R15&lt;&gt;"Liberadas","Dependências sem conclusão comprovada",IF(F15="Bloqueada","Registrar bloqueio em observações",IF(NOT(OR(F15="Concluída",F15="Reaproveitada")),"Execução ainda não concluída",IF(E15="","Definir responsável",IF(I15="","Anexar evidências",IF(J15&lt;&gt;"Aceito","Aceite técnico pendente",IF(OR(K15="",NOT(ISNUMBER(L15)),L15&lt;=0),"Registrar validador e data técnicos","Aceite financeiro pendente")))))))))</f>
        <v/>
      </c>
      <c r="I15" s="12" t="inlineStr">
        <is>
          <t>docs/financeiro/implementacao-v1/base-validacao/README.md; evidencias/banco-final.json; evidencias/fundacao-final.log</t>
        </is>
      </c>
      <c r="J15" s="12" t="inlineStr">
        <is>
          <t>Pendente</t>
        </is>
      </c>
      <c r="K15" s="12" t="str"/>
      <c r="L15" s="28" t="n"/>
      <c r="M15" s="16" t="inlineStr">
        <is>
          <t>Não</t>
        </is>
      </c>
      <c r="N15" s="12" t="inlineStr">
        <is>
          <t>Não aplicável</t>
        </is>
      </c>
      <c r="O15" s="12" t="str"/>
      <c r="P15" s="28" t="n"/>
      <c r="Q15" s="16">
        <f>IF(COUNTIFS($A$11:$A$55,A15)&lt;&gt;1,"ID inválido",IF(AND(OR(F15="Concluída",F15="Reaproveitada"),E15&lt;&gt;"",I15&lt;&gt;"",J15="Aceito",K15&lt;&gt;"",ISNUMBER(L15),L15&gt;0,OR(M15="Não",AND(M15="Sim",N15="Aceito",O15&lt;&gt;"",ISNUMBER(P15),P15&gt;0))),"Suficientes","Pendentes"))</f>
        <v/>
      </c>
      <c r="R15" s="16">
        <f>IF(SUM(COUNTIFS($A$11:$A$55,"T03",$Q$11:$Q$55,"Suficientes"),COUNTIFS($A$11:$A$55,"T01",$Q$11:$Q$55,"Suficientes"),COUNTIFS($A$11:$A$55,"T02",$Q$11:$Q$55,"Suficientes"),COUNTIFS($A$11:$A$55,"T04",$Q$11:$Q$55,"Suficientes"))=4,"Liberadas","Pendentes")</f>
        <v/>
      </c>
      <c r="S15" s="12" t="inlineStr">
        <is>
          <t>RLS e RPCs de banco testados; ACL opt-in apenas fictícia. API/cache/export/IA/Storage real e matriz nominal pendentes. Trabalho isolado autorizado nesta etapa; aceites/dependências formais não declarados concluídos.</t>
        </is>
      </c>
      <c r="T15" s="16" t="inlineStr">
        <is>
          <t>CT24</t>
        </is>
      </c>
    </row>
    <row r="16" ht="56" customHeight="1">
      <c r="A16" s="16" t="inlineStr">
        <is>
          <t>T06</t>
        </is>
      </c>
      <c r="B16" s="16" t="inlineStr">
        <is>
          <t>Padronizar dinheiro e componentes financeiros</t>
        </is>
      </c>
      <c r="C16" s="16" t="inlineStr">
        <is>
          <t>1 Base e segurança</t>
        </is>
      </c>
      <c r="D16" s="16" t="inlineStr">
        <is>
          <t>T02, T03, T04</t>
        </is>
      </c>
      <c r="E16" s="12" t="str"/>
      <c r="F16" s="12" t="inlineStr">
        <is>
          <t>Em andamento</t>
        </is>
      </c>
      <c r="G16" s="16">
        <f>IF(F16="Bloqueada","Bloqueada",IF(AND(OR(F16="Concluída",F16="Reaproveitada"),Q16="Suficientes",R16="Liberadas"),"Concluída",IF(R16&lt;&gt;"Liberadas","Aguardando dependência",IF(OR(F16="Concluída",F16="Reaproveitada"),"Em validação",F16))))</f>
        <v/>
      </c>
      <c r="H16" s="16">
        <f>IF(G16="Concluída","",IF(Q16="ID inválido","Corrigir ID duplicado",IF(R16&lt;&gt;"Liberadas","Dependências sem conclusão comprovada",IF(F16="Bloqueada","Registrar bloqueio em observações",IF(NOT(OR(F16="Concluída",F16="Reaproveitada")),"Execução ainda não concluída",IF(E16="","Definir responsável",IF(I16="","Anexar evidências",IF(J16&lt;&gt;"Aceito","Aceite técnico pendente",IF(OR(K16="",NOT(ISNUMBER(L16)),L16&lt;=0),"Registrar validador e data técnicos","Aceite financeiro pendente")))))))))</f>
        <v/>
      </c>
      <c r="I16" s="12" t="inlineStr">
        <is>
          <t>docs/financeiro/implementacao-v1/base-validacao/README.md; evidencias/banco-final.json; evidencias/fundacao-final.log</t>
        </is>
      </c>
      <c r="J16" s="12" t="inlineStr">
        <is>
          <t>Pendente</t>
        </is>
      </c>
      <c r="K16" s="12" t="str"/>
      <c r="L16" s="28" t="n"/>
      <c r="M16" s="16" t="inlineStr">
        <is>
          <t>Não</t>
        </is>
      </c>
      <c r="N16" s="12" t="inlineStr">
        <is>
          <t>Não aplicável</t>
        </is>
      </c>
      <c r="O16" s="12" t="str"/>
      <c r="P16" s="28" t="n"/>
      <c r="Q16" s="16">
        <f>IF(COUNTIFS($A$11:$A$55,A16)&lt;&gt;1,"ID inválido",IF(AND(OR(F16="Concluída",F16="Reaproveitada"),E16&lt;&gt;"",I16&lt;&gt;"",J16="Aceito",K16&lt;&gt;"",ISNUMBER(L16),L16&gt;0,OR(M16="Não",AND(M16="Sim",N16="Aceito",O16&lt;&gt;"",ISNUMBER(P16),P16&gt;0))),"Suficientes","Pendentes"))</f>
        <v/>
      </c>
      <c r="R16" s="16">
        <f>IF(SUM(COUNTIFS($A$11:$A$55,"T02",$Q$11:$Q$55,"Suficientes"),COUNTIFS($A$11:$A$55,"T03",$Q$11:$Q$55,"Suficientes"),COUNTIFS($A$11:$A$55,"T01",$Q$11:$Q$55,"Suficientes"),COUNTIFS($A$11:$A$55,"T04",$Q$11:$Q$55,"Suficientes"))=4,"Liberadas","Pendentes")</f>
        <v/>
      </c>
      <c r="S16" s="12" t="inlineStr">
        <is>
          <t>7 testes monetários passam; parciais/componentes/excedente e D06–D08 não homologados. Trabalho isolado autorizado nesta etapa; aceites/dependências formais não declarados concluídos.</t>
        </is>
      </c>
      <c r="T16" s="16" t="inlineStr">
        <is>
          <t>CT07, CT11, CT30</t>
        </is>
      </c>
    </row>
    <row r="17" ht="56" customHeight="1">
      <c r="A17" s="16" t="inlineStr">
        <is>
          <t>T07</t>
        </is>
      </c>
      <c r="B17" s="16" t="inlineStr">
        <is>
          <t>Separar as datas do negócio e os cortes T e K</t>
        </is>
      </c>
      <c r="C17" s="16" t="inlineStr">
        <is>
          <t>1 Base e segurança</t>
        </is>
      </c>
      <c r="D17" s="16" t="inlineStr">
        <is>
          <t>T02, T03, T04</t>
        </is>
      </c>
      <c r="E17" s="12" t="str"/>
      <c r="F17" s="12" t="inlineStr">
        <is>
          <t>Em andamento</t>
        </is>
      </c>
      <c r="G17" s="16">
        <f>IF(F17="Bloqueada","Bloqueada",IF(AND(OR(F17="Concluída",F17="Reaproveitada"),Q17="Suficientes",R17="Liberadas"),"Concluída",IF(R17&lt;&gt;"Liberadas","Aguardando dependência",IF(OR(F17="Concluída",F17="Reaproveitada"),"Em validação",F17))))</f>
        <v/>
      </c>
      <c r="H17" s="16">
        <f>IF(G17="Concluída","",IF(Q17="ID inválido","Corrigir ID duplicado",IF(R17&lt;&gt;"Liberadas","Dependências sem conclusão comprovada",IF(F17="Bloqueada","Registrar bloqueio em observações",IF(NOT(OR(F17="Concluída",F17="Reaproveitada")),"Execução ainda não concluída",IF(E17="","Definir responsável",IF(I17="","Anexar evidências",IF(J17&lt;&gt;"Aceito","Aceite técnico pendente",IF(OR(K17="",NOT(ISNUMBER(L17)),L17&lt;=0),"Registrar validador e data técnicos","Aceite financeiro pendente")))))))))</f>
        <v/>
      </c>
      <c r="I17" s="12" t="inlineStr">
        <is>
          <t>docs/financeiro/implementacao-v1/base-validacao/README.md; evidencias/banco-final.json; evidencias/fundacao-final.log</t>
        </is>
      </c>
      <c r="J17" s="12" t="inlineStr">
        <is>
          <t>Pendente</t>
        </is>
      </c>
      <c r="K17" s="12" t="str"/>
      <c r="L17" s="28" t="n"/>
      <c r="M17" s="16" t="inlineStr">
        <is>
          <t>Não</t>
        </is>
      </c>
      <c r="N17" s="12" t="inlineStr">
        <is>
          <t>Não aplicável</t>
        </is>
      </c>
      <c r="O17" s="12" t="str"/>
      <c r="P17" s="28" t="n"/>
      <c r="Q17" s="16">
        <f>IF(COUNTIFS($A$11:$A$55,A17)&lt;&gt;1,"ID inválido",IF(AND(OR(F17="Concluída",F17="Reaproveitada"),E17&lt;&gt;"",I17&lt;&gt;"",J17="Aceito",K17&lt;&gt;"",ISNUMBER(L17),L17&gt;0,OR(M17="Não",AND(M17="Sim",N17="Aceito",O17&lt;&gt;"",ISNUMBER(P17),P17&gt;0))),"Suficientes","Pendentes"))</f>
        <v/>
      </c>
      <c r="R17" s="16">
        <f>IF(SUM(COUNTIFS($A$11:$A$55,"T02",$Q$11:$Q$55,"Suficientes"),COUNTIFS($A$11:$A$55,"T03",$Q$11:$Q$55,"Suficientes"),COUNTIFS($A$11:$A$55,"T01",$Q$11:$Q$55,"Suficientes"),COUNTIFS($A$11:$A$55,"T04",$Q$11:$Q$55,"Suficientes"))=4,"Liberadas","Pendentes")</f>
        <v/>
      </c>
      <c r="S17" s="12" t="inlineStr">
        <is>
          <t>Calendário e T/K de novas versões testados; legado e todos os consumidores pendentes. Trabalho isolado autorizado nesta etapa; aceites/dependências formais não declarados concluídos.</t>
        </is>
      </c>
      <c r="T17" s="16" t="inlineStr">
        <is>
          <t>CT02, CT04, CT20</t>
        </is>
      </c>
    </row>
    <row r="18" ht="56" customHeight="1">
      <c r="A18" s="16" t="inlineStr">
        <is>
          <t>T08</t>
        </is>
      </c>
      <c r="B18" s="16" t="inlineStr">
        <is>
          <t>Registrar alterações rastreáveis sem apagar a origem</t>
        </is>
      </c>
      <c r="C18" s="16" t="inlineStr">
        <is>
          <t>1 Base e segurança</t>
        </is>
      </c>
      <c r="D18" s="16" t="inlineStr">
        <is>
          <t>T04, T05, T06, T07</t>
        </is>
      </c>
      <c r="E18" s="12" t="str"/>
      <c r="F18" s="12" t="inlineStr">
        <is>
          <t>Em andamento</t>
        </is>
      </c>
      <c r="G18" s="16">
        <f>IF(F18="Bloqueada","Bloqueada",IF(AND(OR(F18="Concluída",F18="Reaproveitada"),Q18="Suficientes",R18="Liberadas"),"Concluída",IF(R18&lt;&gt;"Liberadas","Aguardando dependência",IF(OR(F18="Concluída",F18="Reaproveitada"),"Em validação",F18))))</f>
        <v/>
      </c>
      <c r="H18" s="16">
        <f>IF(G18="Concluída","",IF(Q18="ID inválido","Corrigir ID duplicado",IF(R18&lt;&gt;"Liberadas","Dependências sem conclusão comprovada",IF(F18="Bloqueada","Registrar bloqueio em observações",IF(NOT(OR(F18="Concluída",F18="Reaproveitada")),"Execução ainda não concluída",IF(E18="","Definir responsável",IF(I18="","Anexar evidências",IF(J18&lt;&gt;"Aceito","Aceite técnico pendente",IF(OR(K18="",NOT(ISNUMBER(L18)),L18&lt;=0),"Registrar validador e data técnicos","Aceite financeiro pendente")))))))))</f>
        <v/>
      </c>
      <c r="I18" s="12" t="inlineStr">
        <is>
          <t>docs/financeiro/implementacao-v1/base-validacao/README.md; evidencias/banco-final.json; evidencias/fundacao-final.log</t>
        </is>
      </c>
      <c r="J18" s="12" t="inlineStr">
        <is>
          <t>Pendente</t>
        </is>
      </c>
      <c r="K18" s="12" t="str"/>
      <c r="L18" s="28" t="n"/>
      <c r="M18" s="16" t="inlineStr">
        <is>
          <t>Não</t>
        </is>
      </c>
      <c r="N18" s="12" t="inlineStr">
        <is>
          <t>Não aplicável</t>
        </is>
      </c>
      <c r="O18" s="12" t="str"/>
      <c r="P18" s="28" t="n"/>
      <c r="Q18" s="16">
        <f>IF(COUNTIFS($A$11:$A$55,A18)&lt;&gt;1,"ID inválido",IF(AND(OR(F18="Concluída",F18="Reaproveitada"),E18&lt;&gt;"",I18&lt;&gt;"",J18="Aceito",K18&lt;&gt;"",ISNUMBER(L18),L18&gt;0,OR(M18="Não",AND(M18="Sim",N18="Aceito",O18&lt;&gt;"",ISNUMBER(P18),P18&gt;0))),"Suficientes","Pendentes"))</f>
        <v/>
      </c>
      <c r="R18" s="16">
        <f>IF(SUM(COUNTIFS($A$11:$A$55,"T04",$Q$11:$Q$55,"Suficientes"),COUNTIFS($A$11:$A$55,"T01",$Q$11:$Q$55,"Suficientes"),COUNTIFS($A$11:$A$55,"T02",$Q$11:$Q$55,"Suficientes"),COUNTIFS($A$11:$A$55,"T05",$Q$11:$Q$55,"Suficientes"),COUNTIFS($A$11:$A$55,"T03",$Q$11:$Q$55,"Suficientes"),COUNTIFS($A$11:$A$55,"T06",$Q$11:$Q$55,"Suficientes"),COUNTIFS($A$11:$A$55,"T07",$Q$11:$Q$55,"Suficientes"))=7,"Liberadas","Pendentes")</f>
        <v/>
      </c>
      <c r="S18" s="12" t="inlineStr">
        <is>
          <t>Revisão concorrente idempotente e trilha antes/depois/autoria/motivo testadas; integração de todas as operações pendente. Trabalho isolado autorizado nesta etapa; aceites/dependências formais não declarados concluídos.</t>
        </is>
      </c>
      <c r="T18" s="16" t="inlineStr">
        <is>
          <t>CT02, CT08, CT20</t>
        </is>
      </c>
    </row>
    <row r="19" ht="56" customHeight="1">
      <c r="A19" s="16" t="inlineStr">
        <is>
          <t>T09</t>
        </is>
      </c>
      <c r="B19" s="16" t="inlineStr">
        <is>
          <t>Preservar a carga bruta e seu manifesto</t>
        </is>
      </c>
      <c r="C19" s="16" t="inlineStr">
        <is>
          <t>2 Importação e saneamento</t>
        </is>
      </c>
      <c r="D19" s="16" t="inlineStr">
        <is>
          <t>T01, T04, T05, T07</t>
        </is>
      </c>
      <c r="E19" s="12" t="str"/>
      <c r="F19" s="12" t="inlineStr">
        <is>
          <t>Em validação</t>
        </is>
      </c>
      <c r="G19" s="16">
        <f>IF(F19="Bloqueada","Bloqueada",IF(AND(OR(F19="Concluída",F19="Reaproveitada"),Q19="Suficientes",R19="Liberadas"),"Concluída",IF(R19&lt;&gt;"Liberadas","Aguardando dependência",IF(OR(F19="Concluída",F19="Reaproveitada"),"Em validação",F19))))</f>
        <v/>
      </c>
      <c r="H19" s="16">
        <f>IF(G19="Concluída","",IF(Q19="ID inválido","Corrigir ID duplicado",IF(R19&lt;&gt;"Liberadas","Dependências sem conclusão comprovada",IF(F19="Bloqueada","Registrar bloqueio em observações",IF(NOT(OR(F19="Concluída",F19="Reaproveitada")),"Execução ainda não concluída",IF(E19="","Definir responsável",IF(I19="","Anexar evidências",IF(J19&lt;&gt;"Aceito","Aceite técnico pendente",IF(OR(K19="",NOT(ISNUMBER(L19)),L19&lt;=0),"Registrar validador e data técnicos","Aceite financeiro pendente")))))))))</f>
        <v/>
      </c>
      <c r="I19" s="12" t="inlineStr">
        <is>
          <t>docs/financeiro/implementacao-v1/etapa6-koper/README.md; evidencias/integracao.json; evidencias/comparacao-CT01-CT26.json; ACOMPANHAMENTO.md</t>
        </is>
      </c>
      <c r="J19" s="12" t="inlineStr">
        <is>
          <t>Pendente</t>
        </is>
      </c>
      <c r="K19" s="12" t="str"/>
      <c r="L19" s="28" t="n"/>
      <c r="M19" s="16" t="inlineStr">
        <is>
          <t>Não</t>
        </is>
      </c>
      <c r="N19" s="12" t="inlineStr">
        <is>
          <t>Não aplicável</t>
        </is>
      </c>
      <c r="O19" s="12" t="str"/>
      <c r="P19" s="28" t="n"/>
      <c r="Q19" s="16">
        <f>IF(COUNTIFS($A$11:$A$55,A19)&lt;&gt;1,"ID inválido",IF(AND(OR(F19="Concluída",F19="Reaproveitada"),E19&lt;&gt;"",I19&lt;&gt;"",J19="Aceito",K19&lt;&gt;"",ISNUMBER(L19),L19&gt;0,OR(M19="Não",AND(M19="Sim",N19="Aceito",O19&lt;&gt;"",ISNUMBER(P19),P19&gt;0))),"Suficientes","Pendentes"))</f>
        <v/>
      </c>
      <c r="R19" s="16">
        <f>IF(SUM(COUNTIFS($A$11:$A$55,"T01",$Q$11:$Q$55,"Suficientes"),COUNTIFS($A$11:$A$55,"T04",$Q$11:$Q$55,"Suficientes"),COUNTIFS($A$11:$A$55,"T02",$Q$11:$Q$55,"Suficientes"),COUNTIFS($A$11:$A$55,"T05",$Q$11:$Q$55,"Suficientes"),COUNTIFS($A$11:$A$55,"T03",$Q$11:$Q$55,"Suficientes"),COUNTIFS($A$11:$A$55,"T07",$Q$11:$Q$55,"Suficientes"))=6,"Liberadas","Pendentes")</f>
        <v/>
      </c>
      <c r="S19" s="12" t="inlineStr">
        <is>
          <t>Manifestos/originais/hash e paginação executados; transporte real e amostra/aceite técnico pendentes.</t>
        </is>
      </c>
      <c r="T19" s="16" t="inlineStr">
        <is>
          <t>CT01, CT21, CT26</t>
        </is>
      </c>
    </row>
    <row r="20" ht="56" customHeight="1">
      <c r="A20" s="16" t="inlineStr">
        <is>
          <t>T10</t>
        </is>
      </c>
      <c r="B20" s="16" t="inlineStr">
        <is>
          <t>Tornar a importação idempotente por objeto</t>
        </is>
      </c>
      <c r="C20" s="16" t="inlineStr">
        <is>
          <t>2 Importação e saneamento</t>
        </is>
      </c>
      <c r="D20" s="16" t="inlineStr">
        <is>
          <t>T04, T08, T09</t>
        </is>
      </c>
      <c r="E20" s="12" t="str"/>
      <c r="F20" s="12" t="inlineStr">
        <is>
          <t>Em validação</t>
        </is>
      </c>
      <c r="G20" s="16">
        <f>IF(F20="Bloqueada","Bloqueada",IF(AND(OR(F20="Concluída",F20="Reaproveitada"),Q20="Suficientes",R20="Liberadas"),"Concluída",IF(R20&lt;&gt;"Liberadas","Aguardando dependência",IF(OR(F20="Concluída",F20="Reaproveitada"),"Em validação",F20))))</f>
        <v/>
      </c>
      <c r="H20" s="16">
        <f>IF(G20="Concluída","",IF(Q20="ID inválido","Corrigir ID duplicado",IF(R20&lt;&gt;"Liberadas","Dependências sem conclusão comprovada",IF(F20="Bloqueada","Registrar bloqueio em observações",IF(NOT(OR(F20="Concluída",F20="Reaproveitada")),"Execução ainda não concluída",IF(E20="","Definir responsável",IF(I20="","Anexar evidências",IF(J20&lt;&gt;"Aceito","Aceite técnico pendente",IF(OR(K20="",NOT(ISNUMBER(L20)),L20&lt;=0),"Registrar validador e data técnicos","Aceite financeiro pendente")))))))))</f>
        <v/>
      </c>
      <c r="I20" s="12" t="inlineStr">
        <is>
          <t>docs/financeiro/implementacao-v1/etapa6-koper/README.md; evidencias/integracao.json; evidencias/comparacao-CT01-CT26.json; ACOMPANHAMENTO.md</t>
        </is>
      </c>
      <c r="J20" s="12" t="inlineStr">
        <is>
          <t>Pendente</t>
        </is>
      </c>
      <c r="K20" s="12" t="str"/>
      <c r="L20" s="28" t="n"/>
      <c r="M20" s="16" t="inlineStr">
        <is>
          <t>Não</t>
        </is>
      </c>
      <c r="N20" s="12" t="inlineStr">
        <is>
          <t>Não aplicável</t>
        </is>
      </c>
      <c r="O20" s="12" t="str"/>
      <c r="P20" s="28" t="n"/>
      <c r="Q20" s="16">
        <f>IF(COUNTIFS($A$11:$A$55,A20)&lt;&gt;1,"ID inválido",IF(AND(OR(F20="Concluída",F20="Reaproveitada"),E20&lt;&gt;"",I20&lt;&gt;"",J20="Aceito",K20&lt;&gt;"",ISNUMBER(L20),L20&gt;0,OR(M20="Não",AND(M20="Sim",N20="Aceito",O20&lt;&gt;"",ISNUMBER(P20),P20&gt;0))),"Suficientes","Pendentes"))</f>
        <v/>
      </c>
      <c r="R20" s="16">
        <f>IF(SUM(COUNTIFS($A$11:$A$55,"T04",$Q$11:$Q$55,"Suficientes"),COUNTIFS($A$11:$A$55,"T01",$Q$11:$Q$55,"Suficientes"),COUNTIFS($A$11:$A$55,"T02",$Q$11:$Q$55,"Suficientes"),COUNTIFS($A$11:$A$55,"T08",$Q$11:$Q$55,"Suficientes"),COUNTIFS($A$11:$A$55,"T05",$Q$11:$Q$55,"Suficientes"),COUNTIFS($A$11:$A$55,"T03",$Q$11:$Q$55,"Suficientes"),COUNTIFS($A$11:$A$55,"T06",$Q$11:$Q$55,"Suficientes"),COUNTIFS($A$11:$A$55,"T07",$Q$11:$Q$55,"Suficientes"),COUNTIFS($A$11:$A$55,"T09",$Q$11:$Q$55,"Suficientes"))=9,"Liberadas","Pendentes")</f>
        <v/>
      </c>
      <c r="S20" s="12" t="inlineStr">
        <is>
          <t>Serial/concorrente/retry/revisão suportada passam no recorte AP; demais objetos e integração remota pendentes.</t>
        </is>
      </c>
      <c r="T20" s="16" t="inlineStr">
        <is>
          <t>CT01, CT02, CT23, CT24, CT26</t>
        </is>
      </c>
    </row>
    <row r="21" ht="56" customHeight="1">
      <c r="A21" s="16" t="inlineStr">
        <is>
          <t>T11</t>
        </is>
      </c>
      <c r="B21" s="16" t="inlineStr">
        <is>
          <t>Conferir cobertura e totais antes de validar a carga</t>
        </is>
      </c>
      <c r="C21" s="16" t="inlineStr">
        <is>
          <t>2 Importação e saneamento</t>
        </is>
      </c>
      <c r="D21" s="16" t="inlineStr">
        <is>
          <t>T06, T09, T10</t>
        </is>
      </c>
      <c r="E21" s="12" t="str"/>
      <c r="F21" s="12" t="inlineStr">
        <is>
          <t>Em validação</t>
        </is>
      </c>
      <c r="G21" s="16">
        <f>IF(F21="Bloqueada","Bloqueada",IF(AND(OR(F21="Concluída",F21="Reaproveitada"),Q21="Suficientes",R21="Liberadas"),"Concluída",IF(R21&lt;&gt;"Liberadas","Aguardando dependência",IF(OR(F21="Concluída",F21="Reaproveitada"),"Em validação",F21))))</f>
        <v/>
      </c>
      <c r="H21" s="16">
        <f>IF(G21="Concluída","",IF(Q21="ID inválido","Corrigir ID duplicado",IF(R21&lt;&gt;"Liberadas","Dependências sem conclusão comprovada",IF(F21="Bloqueada","Registrar bloqueio em observações",IF(NOT(OR(F21="Concluída",F21="Reaproveitada")),"Execução ainda não concluída",IF(E21="","Definir responsável",IF(I21="","Anexar evidências",IF(J21&lt;&gt;"Aceito","Aceite técnico pendente",IF(OR(K21="",NOT(ISNUMBER(L21)),L21&lt;=0),"Registrar validador e data técnicos","Aceite financeiro pendente")))))))))</f>
        <v/>
      </c>
      <c r="I21" s="12" t="inlineStr">
        <is>
          <t>docs/financeiro/implementacao-v1/etapa6-koper/README.md; evidencias/integracao.json; evidencias/comparacao-CT01-CT26.json; ACOMPANHAMENTO.md</t>
        </is>
      </c>
      <c r="J21" s="12" t="inlineStr">
        <is>
          <t>Pendente</t>
        </is>
      </c>
      <c r="K21" s="12" t="str"/>
      <c r="L21" s="28" t="n"/>
      <c r="M21" s="16" t="inlineStr">
        <is>
          <t>Não</t>
        </is>
      </c>
      <c r="N21" s="12" t="inlineStr">
        <is>
          <t>Não aplicável</t>
        </is>
      </c>
      <c r="O21" s="12" t="str"/>
      <c r="P21" s="28" t="n"/>
      <c r="Q21" s="16">
        <f>IF(COUNTIFS($A$11:$A$55,A21)&lt;&gt;1,"ID inválido",IF(AND(OR(F21="Concluída",F21="Reaproveitada"),E21&lt;&gt;"",I21&lt;&gt;"",J21="Aceito",K21&lt;&gt;"",ISNUMBER(L21),L21&gt;0,OR(M21="Não",AND(M21="Sim",N21="Aceito",O21&lt;&gt;"",ISNUMBER(P21),P21&gt;0))),"Suficientes","Pendentes"))</f>
        <v/>
      </c>
      <c r="R21" s="16">
        <f>IF(SUM(COUNTIFS($A$11:$A$55,"T06",$Q$11:$Q$55,"Suficientes"),COUNTIFS($A$11:$A$55,"T02",$Q$11:$Q$55,"Suficientes"),COUNTIFS($A$11:$A$55,"T03",$Q$11:$Q$55,"Suficientes"),COUNTIFS($A$11:$A$55,"T01",$Q$11:$Q$55,"Suficientes"),COUNTIFS($A$11:$A$55,"T04",$Q$11:$Q$55,"Suficientes"),COUNTIFS($A$11:$A$55,"T09",$Q$11:$Q$55,"Suficientes"),COUNTIFS($A$11:$A$55,"T05",$Q$11:$Q$55,"Suficientes"),COUNTIFS($A$11:$A$55,"T07",$Q$11:$Q$55,"Suficientes"),COUNTIFS($A$11:$A$55,"T10",$Q$11:$Q$55,"Suficientes"),COUNTIFS($A$11:$A$55,"T08",$Q$11:$Q$55,"Suficientes"))=10,"Liberadas","Pendentes")</f>
        <v/>
      </c>
      <c r="S21" s="12" t="inlineStr">
        <is>
          <t>CT01/CT26 compatíveis no banco; ponte por ID/subtotal/falha. Falta posição real reconciliável e bruto/líquido.</t>
        </is>
      </c>
      <c r="T21" s="16" t="inlineStr">
        <is>
          <t>CT01, CT21, CT26</t>
        </is>
      </c>
    </row>
    <row r="22" ht="56" customHeight="1">
      <c r="A22" s="16" t="inlineStr">
        <is>
          <t>T12</t>
        </is>
      </c>
      <c r="B22" s="16" t="inlineStr">
        <is>
          <t>Classificar registros extras e a divergência do título 16032</t>
        </is>
      </c>
      <c r="C22" s="16" t="inlineStr">
        <is>
          <t>2 Importação e saneamento</t>
        </is>
      </c>
      <c r="D22" s="16" t="inlineStr">
        <is>
          <t>T01, T09, T10, T11</t>
        </is>
      </c>
      <c r="E22" s="12" t="str"/>
      <c r="F22" s="12" t="inlineStr">
        <is>
          <t>Bloqueada</t>
        </is>
      </c>
      <c r="G22" s="16">
        <f>IF(F22="Bloqueada","Bloqueada",IF(AND(OR(F22="Concluída",F22="Reaproveitada"),Q22="Suficientes",R22="Liberadas"),"Concluída",IF(R22&lt;&gt;"Liberadas","Aguardando dependência",IF(OR(F22="Concluída",F22="Reaproveitada"),"Em validação",F22))))</f>
        <v/>
      </c>
      <c r="H22" s="16">
        <f>IF(G22="Concluída","",IF(Q22="ID inválido","Corrigir ID duplicado",IF(R22&lt;&gt;"Liberadas","Dependências sem conclusão comprovada",IF(F22="Bloqueada","Registrar bloqueio em observações",IF(NOT(OR(F22="Concluída",F22="Reaproveitada")),"Execução ainda não concluída",IF(E22="","Definir responsável",IF(I22="","Anexar evidências",IF(J22&lt;&gt;"Aceito","Aceite técnico pendente",IF(OR(K22="",NOT(ISNUMBER(L22)),L22&lt;=0),"Registrar validador e data técnicos","Aceite financeiro pendente")))))))))</f>
        <v/>
      </c>
      <c r="I22" s="12" t="inlineStr">
        <is>
          <t>docs/financeiro/implementacao-v1/etapa6-koper/README.md; evidencias/integracao.json; evidencias/comparacao-CT01-CT26.json; ACOMPANHAMENTO.md</t>
        </is>
      </c>
      <c r="J22" s="12" t="inlineStr">
        <is>
          <t>Pendente</t>
        </is>
      </c>
      <c r="K22" s="12" t="str"/>
      <c r="L22" s="28" t="n"/>
      <c r="M22" s="16" t="inlineStr">
        <is>
          <t>Sim</t>
        </is>
      </c>
      <c r="N22" s="12" t="inlineStr">
        <is>
          <t>Pendente</t>
        </is>
      </c>
      <c r="O22" s="12" t="str"/>
      <c r="P22" s="28" t="n"/>
      <c r="Q22" s="16">
        <f>IF(COUNTIFS($A$11:$A$55,A22)&lt;&gt;1,"ID inválido",IF(AND(OR(F22="Concluída",F22="Reaproveitada"),E22&lt;&gt;"",I22&lt;&gt;"",J22="Aceito",K22&lt;&gt;"",ISNUMBER(L22),L22&gt;0,OR(M22="Não",AND(M22="Sim",N22="Aceito",O22&lt;&gt;"",ISNUMBER(P22),P22&gt;0))),"Suficientes","Pendentes"))</f>
        <v/>
      </c>
      <c r="R22" s="16">
        <f>IF(SUM(COUNTIFS($A$11:$A$55,"T01",$Q$11:$Q$55,"Suficientes"),COUNTIFS($A$11:$A$55,"T09",$Q$11:$Q$55,"Suficientes"),COUNTIFS($A$11:$A$55,"T04",$Q$11:$Q$55,"Suficientes"),COUNTIFS($A$11:$A$55,"T02",$Q$11:$Q$55,"Suficientes"),COUNTIFS($A$11:$A$55,"T05",$Q$11:$Q$55,"Suficientes"),COUNTIFS($A$11:$A$55,"T03",$Q$11:$Q$55,"Suficientes"),COUNTIFS($A$11:$A$55,"T07",$Q$11:$Q$55,"Suficientes"),COUNTIFS($A$11:$A$55,"T10",$Q$11:$Q$55,"Suficientes"),COUNTIFS($A$11:$A$55,"T08",$Q$11:$Q$55,"Suficientes"),COUNTIFS($A$11:$A$55,"T06",$Q$11:$Q$55,"Suficientes"),COUNTIFS($A$11:$A$55,"T11",$Q$11:$Q$55,"Suficientes"))=11,"Liberadas","Pendentes")</f>
        <v/>
      </c>
      <c r="S22" s="12" t="inlineStr">
        <is>
          <t>Sem lista dos 26 extras e eventos atuais do 16032. Nenhuma exclusão ou conclusão histórica presumida.</t>
        </is>
      </c>
      <c r="T22" s="16" t="inlineStr">
        <is>
          <t>CT01, CT03, CT08, CT21</t>
        </is>
      </c>
    </row>
    <row r="23" ht="56" customHeight="1">
      <c r="A23" s="16" t="inlineStr">
        <is>
          <t>T13</t>
        </is>
      </c>
      <c r="B23" s="16" t="inlineStr">
        <is>
          <t>Corrigir correspondências de fornecedores comprovadamente divergentes</t>
        </is>
      </c>
      <c r="C23" s="16" t="inlineStr">
        <is>
          <t>2 Importação e saneamento</t>
        </is>
      </c>
      <c r="D23" s="16" t="inlineStr">
        <is>
          <t>T01, T04, T05, T08, T10, T11</t>
        </is>
      </c>
      <c r="E23" s="12" t="str"/>
      <c r="F23" s="12" t="inlineStr">
        <is>
          <t>Bloqueada</t>
        </is>
      </c>
      <c r="G23" s="16">
        <f>IF(F23="Bloqueada","Bloqueada",IF(AND(OR(F23="Concluída",F23="Reaproveitada"),Q23="Suficientes",R23="Liberadas"),"Concluída",IF(R23&lt;&gt;"Liberadas","Aguardando dependência",IF(OR(F23="Concluída",F23="Reaproveitada"),"Em validação",F23))))</f>
        <v/>
      </c>
      <c r="H23" s="16">
        <f>IF(G23="Concluída","",IF(Q23="ID inválido","Corrigir ID duplicado",IF(R23&lt;&gt;"Liberadas","Dependências sem conclusão comprovada",IF(F23="Bloqueada","Registrar bloqueio em observações",IF(NOT(OR(F23="Concluída",F23="Reaproveitada")),"Execução ainda não concluída",IF(E23="","Definir responsável",IF(I23="","Anexar evidências",IF(J23&lt;&gt;"Aceito","Aceite técnico pendente",IF(OR(K23="",NOT(ISNUMBER(L23)),L23&lt;=0),"Registrar validador e data técnicos","Aceite financeiro pendente")))))))))</f>
        <v/>
      </c>
      <c r="I23" s="12" t="inlineStr">
        <is>
          <t>docs/financeiro/implementacao-v1/etapa6-koper/README.md; evidencias/integracao.json; evidencias/comparacao-CT01-CT26.json; ACOMPANHAMENTO.md</t>
        </is>
      </c>
      <c r="J23" s="12" t="inlineStr">
        <is>
          <t>Pendente</t>
        </is>
      </c>
      <c r="K23" s="12" t="str"/>
      <c r="L23" s="28" t="n"/>
      <c r="M23" s="16" t="inlineStr">
        <is>
          <t>Sim</t>
        </is>
      </c>
      <c r="N23" s="12" t="inlineStr">
        <is>
          <t>Pendente</t>
        </is>
      </c>
      <c r="O23" s="12" t="str"/>
      <c r="P23" s="28" t="n"/>
      <c r="Q23" s="16">
        <f>IF(COUNTIFS($A$11:$A$55,A23)&lt;&gt;1,"ID inválido",IF(AND(OR(F23="Concluída",F23="Reaproveitada"),E23&lt;&gt;"",I23&lt;&gt;"",J23="Aceito",K23&lt;&gt;"",ISNUMBER(L23),L23&gt;0,OR(M23="Não",AND(M23="Sim",N23="Aceito",O23&lt;&gt;"",ISNUMBER(P23),P23&gt;0))),"Suficientes","Pendentes"))</f>
        <v/>
      </c>
      <c r="R23" s="16">
        <f>IF(SUM(COUNTIFS($A$11:$A$55,"T01",$Q$11:$Q$55,"Suficientes"),COUNTIFS($A$11:$A$55,"T04",$Q$11:$Q$55,"Suficientes"),COUNTIFS($A$11:$A$55,"T02",$Q$11:$Q$55,"Suficientes"),COUNTIFS($A$11:$A$55,"T05",$Q$11:$Q$55,"Suficientes"),COUNTIFS($A$11:$A$55,"T03",$Q$11:$Q$55,"Suficientes"),COUNTIFS($A$11:$A$55,"T08",$Q$11:$Q$55,"Suficientes"),COUNTIFS($A$11:$A$55,"T06",$Q$11:$Q$55,"Suficientes"),COUNTIFS($A$11:$A$55,"T07",$Q$11:$Q$55,"Suficientes"),COUNTIFS($A$11:$A$55,"T10",$Q$11:$Q$55,"Suficientes"),COUNTIFS($A$11:$A$55,"T09",$Q$11:$Q$55,"Suficientes"),COUNTIFS($A$11:$A$55,"T11",$Q$11:$Q$55,"Suficientes"))=11,"Liberadas","Pendentes")</f>
        <v/>
      </c>
      <c r="S23" s="12" t="inlineStr">
        <is>
          <t>Sem amostra/mapeamento histórico aprovado e efeito anterior comprovado. Contrapartes não saneadas.</t>
        </is>
      </c>
      <c r="T23" s="16" t="inlineStr">
        <is>
          <t>CT01, CT02</t>
        </is>
      </c>
    </row>
    <row r="24" ht="56" customHeight="1">
      <c r="A24" s="16" t="inlineStr">
        <is>
          <t>T14</t>
        </is>
      </c>
      <c r="B24" s="16" t="inlineStr">
        <is>
          <t>Comprovar execução e efeito do sincronizador e dos patches</t>
        </is>
      </c>
      <c r="C24" s="16" t="inlineStr">
        <is>
          <t>2 Importação e saneamento</t>
        </is>
      </c>
      <c r="D24" s="16" t="inlineStr">
        <is>
          <t>T05, T08, T09, T10, T11, T13</t>
        </is>
      </c>
      <c r="E24" s="12" t="str"/>
      <c r="F24" s="12" t="inlineStr">
        <is>
          <t>Em andamento</t>
        </is>
      </c>
      <c r="G24" s="16">
        <f>IF(F24="Bloqueada","Bloqueada",IF(AND(OR(F24="Concluída",F24="Reaproveitada"),Q24="Suficientes",R24="Liberadas"),"Concluída",IF(R24&lt;&gt;"Liberadas","Aguardando dependência",IF(OR(F24="Concluída",F24="Reaproveitada"),"Em validação",F24))))</f>
        <v/>
      </c>
      <c r="H24" s="16">
        <f>IF(G24="Concluída","",IF(Q24="ID inválido","Corrigir ID duplicado",IF(R24&lt;&gt;"Liberadas","Dependências sem conclusão comprovada",IF(F24="Bloqueada","Registrar bloqueio em observações",IF(NOT(OR(F24="Concluída",F24="Reaproveitada")),"Execução ainda não concluída",IF(E24="","Definir responsável",IF(I24="","Anexar evidências",IF(J24&lt;&gt;"Aceito","Aceite técnico pendente",IF(OR(K24="",NOT(ISNUMBER(L24)),L24&lt;=0),"Registrar validador e data técnicos","Aceite financeiro pendente")))))))))</f>
        <v/>
      </c>
      <c r="I24" s="12" t="inlineStr">
        <is>
          <t>docs/financeiro/implementacao-v1/etapa6-koper/README.md; evidencias/integracao.json; evidencias/comparacao-CT01-CT26.json; ACOMPANHAMENTO.md</t>
        </is>
      </c>
      <c r="J24" s="12" t="inlineStr">
        <is>
          <t>Pendente</t>
        </is>
      </c>
      <c r="K24" s="12" t="str"/>
      <c r="L24" s="28" t="n"/>
      <c r="M24" s="16" t="inlineStr">
        <is>
          <t>Não</t>
        </is>
      </c>
      <c r="N24" s="12" t="inlineStr">
        <is>
          <t>Não aplicável</t>
        </is>
      </c>
      <c r="O24" s="12" t="str"/>
      <c r="P24" s="28" t="n"/>
      <c r="Q24" s="16">
        <f>IF(COUNTIFS($A$11:$A$55,A24)&lt;&gt;1,"ID inválido",IF(AND(OR(F24="Concluída",F24="Reaproveitada"),E24&lt;&gt;"",I24&lt;&gt;"",J24="Aceito",K24&lt;&gt;"",ISNUMBER(L24),L24&gt;0,OR(M24="Não",AND(M24="Sim",N24="Aceito",O24&lt;&gt;"",ISNUMBER(P24),P24&gt;0))),"Suficientes","Pendentes"))</f>
        <v/>
      </c>
      <c r="R24" s="16">
        <f>IF(SUM(COUNTIFS($A$11:$A$55,"T05",$Q$11:$Q$55,"Suficientes"),COUNTIFS($A$11:$A$55,"T03",$Q$11:$Q$55,"Suficientes"),COUNTIFS($A$11:$A$55,"T01",$Q$11:$Q$55,"Suficientes"),COUNTIFS($A$11:$A$55,"T02",$Q$11:$Q$55,"Suficientes"),COUNTIFS($A$11:$A$55,"T04",$Q$11:$Q$55,"Suficientes"),COUNTIFS($A$11:$A$55,"T08",$Q$11:$Q$55,"Suficientes"),COUNTIFS($A$11:$A$55,"T06",$Q$11:$Q$55,"Suficientes"),COUNTIFS($A$11:$A$55,"T07",$Q$11:$Q$55,"Suficientes"),COUNTIFS($A$11:$A$55,"T09",$Q$11:$Q$55,"Suficientes"),COUNTIFS($A$11:$A$55,"T10",$Q$11:$Q$55,"Suficientes"),COUNTIFS($A$11:$A$55,"T11",$Q$11:$Q$55,"Suficientes"),COUNTIFS($A$11:$A$55,"T13",$Q$11:$Q$55,"Suficientes"))=12,"Liberadas","Pendentes")</f>
        <v/>
      </c>
      <c r="S24" s="12" t="inlineStr">
        <is>
          <t>Execução/efeito local comprovados; configuração, run/deploy/efeito remotos e D12 não comprovados.</t>
        </is>
      </c>
      <c r="T24" s="16" t="inlineStr">
        <is>
          <t>CT01, CT24, CT26</t>
        </is>
      </c>
    </row>
    <row r="25" ht="56" customHeight="1">
      <c r="A25" s="16" t="inlineStr">
        <is>
          <t>T15</t>
        </is>
      </c>
      <c r="B25" s="16" t="inlineStr">
        <is>
          <t>Tratar obra ausente e natureza ambígua sem presunção</t>
        </is>
      </c>
      <c r="C25" s="16" t="inlineStr">
        <is>
          <t>2 Importação e saneamento</t>
        </is>
      </c>
      <c r="D25" s="16" t="inlineStr">
        <is>
          <t>T02, T08, T09</t>
        </is>
      </c>
      <c r="E25" s="12" t="str"/>
      <c r="F25" s="12" t="inlineStr">
        <is>
          <t>Em andamento</t>
        </is>
      </c>
      <c r="G25" s="16">
        <f>IF(F25="Bloqueada","Bloqueada",IF(AND(OR(F25="Concluída",F25="Reaproveitada"),Q25="Suficientes",R25="Liberadas"),"Concluída",IF(R25&lt;&gt;"Liberadas","Aguardando dependência",IF(OR(F25="Concluída",F25="Reaproveitada"),"Em validação",F25))))</f>
        <v/>
      </c>
      <c r="H25" s="16">
        <f>IF(G25="Concluída","",IF(Q25="ID inválido","Corrigir ID duplicado",IF(R25&lt;&gt;"Liberadas","Dependências sem conclusão comprovada",IF(F25="Bloqueada","Registrar bloqueio em observações",IF(NOT(OR(F25="Concluída",F25="Reaproveitada")),"Execução ainda não concluída",IF(E25="","Definir responsável",IF(I25="","Anexar evidências",IF(J25&lt;&gt;"Aceito","Aceite técnico pendente",IF(OR(K25="",NOT(ISNUMBER(L25)),L25&lt;=0),"Registrar validador e data técnicos","Aceite financeiro pendente")))))))))</f>
        <v/>
      </c>
      <c r="I25" s="12" t="inlineStr">
        <is>
          <t>docs/financeiro/implementacao-v1/etapa6-koper/README.md; evidencias/integracao.json; evidencias/comparacao-CT01-CT26.json; ACOMPANHAMENTO.md</t>
        </is>
      </c>
      <c r="J25" s="12" t="inlineStr">
        <is>
          <t>Pendente</t>
        </is>
      </c>
      <c r="K25" s="12" t="str"/>
      <c r="L25" s="28" t="n"/>
      <c r="M25" s="16" t="inlineStr">
        <is>
          <t>Sim</t>
        </is>
      </c>
      <c r="N25" s="12" t="inlineStr">
        <is>
          <t>Pendente</t>
        </is>
      </c>
      <c r="O25" s="12" t="str"/>
      <c r="P25" s="28" t="n"/>
      <c r="Q25" s="16">
        <f>IF(COUNTIFS($A$11:$A$55,A25)&lt;&gt;1,"ID inválido",IF(AND(OR(F25="Concluída",F25="Reaproveitada"),E25&lt;&gt;"",I25&lt;&gt;"",J25="Aceito",K25&lt;&gt;"",ISNUMBER(L25),L25&gt;0,OR(M25="Não",AND(M25="Sim",N25="Aceito",O25&lt;&gt;"",ISNUMBER(P25),P25&gt;0))),"Suficientes","Pendentes"))</f>
        <v/>
      </c>
      <c r="R25" s="16">
        <f>IF(SUM(COUNTIFS($A$11:$A$55,"T02",$Q$11:$Q$55,"Suficientes"),COUNTIFS($A$11:$A$55,"T08",$Q$11:$Q$55,"Suficientes"),COUNTIFS($A$11:$A$55,"T04",$Q$11:$Q$55,"Suficientes"),COUNTIFS($A$11:$A$55,"T01",$Q$11:$Q$55,"Suficientes"),COUNTIFS($A$11:$A$55,"T05",$Q$11:$Q$55,"Suficientes"),COUNTIFS($A$11:$A$55,"T03",$Q$11:$Q$55,"Suficientes"),COUNTIFS($A$11:$A$55,"T06",$Q$11:$Q$55,"Suficientes"),COUNTIFS($A$11:$A$55,"T07",$Q$11:$Q$55,"Suficientes"),COUNTIFS($A$11:$A$55,"T09",$Q$11:$Q$55,"Suficientes"))=9,"Liberadas","Pendentes")</f>
        <v/>
      </c>
      <c r="S25" s="12" t="inlineStr">
        <is>
          <t>Quarentena preserva entidade/obra/valores; nenhum fallback Flow. CT12 integral depende de parcial/caixa e D01.</t>
        </is>
      </c>
      <c r="T25" s="16" t="inlineStr">
        <is>
          <t>CT12, CT21</t>
        </is>
      </c>
    </row>
    <row r="26" ht="56" customHeight="1">
      <c r="A26" s="16" t="inlineStr">
        <is>
          <t>T16</t>
        </is>
      </c>
      <c r="B26" s="16" t="inlineStr">
        <is>
          <t>Validar vínculos de valor entre documentos e eventos</t>
        </is>
      </c>
      <c r="C26" s="16" t="inlineStr">
        <is>
          <t>3 Eventos e apropriação</t>
        </is>
      </c>
      <c r="D26" s="16" t="inlineStr">
        <is>
          <t>T04, T05, T06, T08</t>
        </is>
      </c>
      <c r="E26" s="12" t="str"/>
      <c r="F26" s="12" t="inlineStr">
        <is>
          <t>Em andamento</t>
        </is>
      </c>
      <c r="G26" s="16">
        <f>IF(F26="Bloqueada","Bloqueada",IF(AND(OR(F26="Concluída",F26="Reaproveitada"),Q26="Suficientes",R26="Liberadas"),"Concluída",IF(R26&lt;&gt;"Liberadas","Aguardando dependência",IF(OR(F26="Concluída",F26="Reaproveitada"),"Em validação",F26))))</f>
        <v/>
      </c>
      <c r="H26" s="16">
        <f>IF(G26="Concluída","",IF(Q26="ID inválido","Corrigir ID duplicado",IF(R26&lt;&gt;"Liberadas","Dependências sem conclusão comprovada",IF(F26="Bloqueada","Registrar bloqueio em observações",IF(NOT(OR(F26="Concluída",F26="Reaproveitada")),"Execução ainda não concluída",IF(E26="","Definir responsável",IF(I26="","Anexar evidências",IF(J26&lt;&gt;"Aceito","Aceite técnico pendente",IF(OR(K26="",NOT(ISNUMBER(L26)),L26&lt;=0),"Registrar validador e data técnicos","Aceite financeiro pendente")))))))))</f>
        <v/>
      </c>
      <c r="I26" s="12" t="inlineStr">
        <is>
          <t>docs/financeiro/implementacao-v1/etapa6-koper/README.md; evidencias/integracao.json; evidencias/comparacao-CT01-CT26.json; ACOMPANHAMENTO.md</t>
        </is>
      </c>
      <c r="J26" s="12" t="inlineStr">
        <is>
          <t>Pendente</t>
        </is>
      </c>
      <c r="K26" s="12" t="str"/>
      <c r="L26" s="28" t="n"/>
      <c r="M26" s="16" t="inlineStr">
        <is>
          <t>Não</t>
        </is>
      </c>
      <c r="N26" s="12" t="inlineStr">
        <is>
          <t>Não aplicável</t>
        </is>
      </c>
      <c r="O26" s="12" t="str"/>
      <c r="P26" s="28" t="n"/>
      <c r="Q26" s="16">
        <f>IF(COUNTIFS($A$11:$A$55,A26)&lt;&gt;1,"ID inválido",IF(AND(OR(F26="Concluída",F26="Reaproveitada"),E26&lt;&gt;"",I26&lt;&gt;"",J26="Aceito",K26&lt;&gt;"",ISNUMBER(L26),L26&gt;0,OR(M26="Não",AND(M26="Sim",N26="Aceito",O26&lt;&gt;"",ISNUMBER(P26),P26&gt;0))),"Suficientes","Pendentes"))</f>
        <v/>
      </c>
      <c r="R26" s="16">
        <f>IF(SUM(COUNTIFS($A$11:$A$55,"T04",$Q$11:$Q$55,"Suficientes"),COUNTIFS($A$11:$A$55,"T01",$Q$11:$Q$55,"Suficientes"),COUNTIFS($A$11:$A$55,"T02",$Q$11:$Q$55,"Suficientes"),COUNTIFS($A$11:$A$55,"T05",$Q$11:$Q$55,"Suficientes"),COUNTIFS($A$11:$A$55,"T03",$Q$11:$Q$55,"Suficientes"),COUNTIFS($A$11:$A$55,"T06",$Q$11:$Q$55,"Suficientes"),COUNTIFS($A$11:$A$55,"T08",$Q$11:$Q$55,"Suficientes"),COUNTIFS($A$11:$A$55,"T07",$Q$11:$Q$55,"Suficientes"))=8,"Liberadas","Pendentes")</f>
        <v/>
      </c>
      <c r="S26" s="12" t="inlineStr">
        <is>
          <t>Vínculo explícito preserva título/identidade; faltam N:M e componentes/cadeia documental integral.</t>
        </is>
      </c>
      <c r="T26" s="16" t="inlineStr">
        <is>
          <t>CT06, CT09, CT23, CT24</t>
        </is>
      </c>
    </row>
    <row r="27" ht="56" customHeight="1">
      <c r="A27" s="16" t="inlineStr">
        <is>
          <t>T17</t>
        </is>
      </c>
      <c r="B27" s="16" t="inlineStr">
        <is>
          <t>Implementar apropriação e rateio monetário versionado</t>
        </is>
      </c>
      <c r="C27" s="16" t="inlineStr">
        <is>
          <t>3 Eventos e apropriação</t>
        </is>
      </c>
      <c r="D27" s="16" t="inlineStr">
        <is>
          <t>T02, T06, T08, T15, T16</t>
        </is>
      </c>
      <c r="E27" s="12" t="str"/>
      <c r="F27" s="12" t="inlineStr">
        <is>
          <t>Em andamento</t>
        </is>
      </c>
      <c r="G27" s="16">
        <f>IF(F27="Bloqueada","Bloqueada",IF(AND(OR(F27="Concluída",F27="Reaproveitada"),Q27="Suficientes",R27="Liberadas"),"Concluída",IF(R27&lt;&gt;"Liberadas","Aguardando dependência",IF(OR(F27="Concluída",F27="Reaproveitada"),"Em validação",F27))))</f>
        <v/>
      </c>
      <c r="H27" s="16">
        <f>IF(G27="Concluída","",IF(Q27="ID inválido","Corrigir ID duplicado",IF(R27&lt;&gt;"Liberadas","Dependências sem conclusão comprovada",IF(F27="Bloqueada","Registrar bloqueio em observações",IF(NOT(OR(F27="Concluída",F27="Reaproveitada")),"Execução ainda não concluída",IF(E27="","Definir responsável",IF(I27="","Anexar evidências",IF(J27&lt;&gt;"Aceito","Aceite técnico pendente",IF(OR(K27="",NOT(ISNUMBER(L27)),L27&lt;=0),"Registrar validador e data técnicos","Aceite financeiro pendente")))))))))</f>
        <v/>
      </c>
      <c r="I27" s="12" t="inlineStr">
        <is>
          <t>docs/financeiro/implementacao-v1/etapa6-koper/README.md; evidencias/integracao.json; evidencias/comparacao-CT01-CT26.json; ACOMPANHAMENTO.md</t>
        </is>
      </c>
      <c r="J27" s="12" t="inlineStr">
        <is>
          <t>Pendente</t>
        </is>
      </c>
      <c r="K27" s="12" t="str"/>
      <c r="L27" s="28" t="n"/>
      <c r="M27" s="16" t="inlineStr">
        <is>
          <t>Sim</t>
        </is>
      </c>
      <c r="N27" s="12" t="inlineStr">
        <is>
          <t>Pendente</t>
        </is>
      </c>
      <c r="O27" s="12" t="str"/>
      <c r="P27" s="28" t="n"/>
      <c r="Q27" s="16">
        <f>IF(COUNTIFS($A$11:$A$55,A27)&lt;&gt;1,"ID inválido",IF(AND(OR(F27="Concluída",F27="Reaproveitada"),E27&lt;&gt;"",I27&lt;&gt;"",J27="Aceito",K27&lt;&gt;"",ISNUMBER(L27),L27&gt;0,OR(M27="Não",AND(M27="Sim",N27="Aceito",O27&lt;&gt;"",ISNUMBER(P27),P27&gt;0))),"Suficientes","Pendentes"))</f>
        <v/>
      </c>
      <c r="R27" s="16">
        <f>IF(SUM(COUNTIFS($A$11:$A$55,"T02",$Q$11:$Q$55,"Suficientes"),COUNTIFS($A$11:$A$55,"T06",$Q$11:$Q$55,"Suficientes"),COUNTIFS($A$11:$A$55,"T03",$Q$11:$Q$55,"Suficientes"),COUNTIFS($A$11:$A$55,"T01",$Q$11:$Q$55,"Suficientes"),COUNTIFS($A$11:$A$55,"T04",$Q$11:$Q$55,"Suficientes"),COUNTIFS($A$11:$A$55,"T08",$Q$11:$Q$55,"Suficientes"),COUNTIFS($A$11:$A$55,"T05",$Q$11:$Q$55,"Suficientes"),COUNTIFS($A$11:$A$55,"T07",$Q$11:$Q$55,"Suficientes"),COUNTIFS($A$11:$A$55,"T15",$Q$11:$Q$55,"Suficientes"),COUNTIFS($A$11:$A$55,"T09",$Q$11:$Q$55,"Suficientes"),COUNTIFS($A$11:$A$55,"T16",$Q$11:$Q$55,"Suficientes"))=11,"Liberadas","Pendentes")</f>
        <v/>
      </c>
      <c r="S27" s="12" t="inlineStr">
        <is>
          <t>A Apropriar e valores monetários/versionados preservados no recorte; D05 real e ledger multiobra/caixa pendentes.</t>
        </is>
      </c>
      <c r="T27" s="16" t="inlineStr">
        <is>
          <t>CT11, CT12</t>
        </is>
      </c>
    </row>
    <row r="28" ht="56" customHeight="1">
      <c r="A28" s="16" t="inlineStr">
        <is>
          <t>T18</t>
        </is>
      </c>
      <c r="B28" s="16" t="inlineStr">
        <is>
          <t>Aplicar liquidações parciais por componente</t>
        </is>
      </c>
      <c r="C28" s="16" t="inlineStr">
        <is>
          <t>3 Eventos e apropriação</t>
        </is>
      </c>
      <c r="D28" s="16" t="inlineStr">
        <is>
          <t>T06, T07, T08, T16</t>
        </is>
      </c>
      <c r="E28" s="12" t="str"/>
      <c r="F28" s="12" t="inlineStr">
        <is>
          <t>Não iniciada</t>
        </is>
      </c>
      <c r="G28" s="16">
        <f>IF(F28="Bloqueada","Bloqueada",IF(AND(OR(F28="Concluída",F28="Reaproveitada"),Q28="Suficientes",R28="Liberadas"),"Concluída",IF(R28&lt;&gt;"Liberadas","Aguardando dependência",IF(OR(F28="Concluída",F28="Reaproveitada"),"Em validação",F28))))</f>
        <v/>
      </c>
      <c r="H28" s="16">
        <f>IF(G28="Concluída","",IF(Q28="ID inválido","Corrigir ID duplicado",IF(R28&lt;&gt;"Liberadas","Dependências sem conclusão comprovada",IF(F28="Bloqueada","Registrar bloqueio em observações",IF(NOT(OR(F28="Concluída",F28="Reaproveitada")),"Execução ainda não concluída",IF(E28="","Definir responsável",IF(I28="","Anexar evidências",IF(J28&lt;&gt;"Aceito","Aceite técnico pendente",IF(OR(K28="",NOT(ISNUMBER(L28)),L28&lt;=0),"Registrar validador e data técnicos","Aceite financeiro pendente")))))))))</f>
        <v/>
      </c>
      <c r="I28" s="12" t="str"/>
      <c r="J28" s="12" t="inlineStr">
        <is>
          <t>Pendente</t>
        </is>
      </c>
      <c r="K28" s="12" t="str"/>
      <c r="L28" s="28" t="n"/>
      <c r="M28" s="16" t="inlineStr">
        <is>
          <t>Sim</t>
        </is>
      </c>
      <c r="N28" s="12" t="inlineStr">
        <is>
          <t>Pendente</t>
        </is>
      </c>
      <c r="O28" s="12" t="str"/>
      <c r="P28" s="28" t="n"/>
      <c r="Q28" s="16">
        <f>IF(COUNTIFS($A$11:$A$55,A28)&lt;&gt;1,"ID inválido",IF(AND(OR(F28="Concluída",F28="Reaproveitada"),E28&lt;&gt;"",I28&lt;&gt;"",J28="Aceito",K28&lt;&gt;"",ISNUMBER(L28),L28&gt;0,OR(M28="Não",AND(M28="Sim",N28="Aceito",O28&lt;&gt;"",ISNUMBER(P28),P28&gt;0))),"Suficientes","Pendentes"))</f>
        <v/>
      </c>
      <c r="R28" s="16">
        <f>IF(SUM(COUNTIFS($A$11:$A$55,"T06",$Q$11:$Q$55,"Suficientes"),COUNTIFS($A$11:$A$55,"T02",$Q$11:$Q$55,"Suficientes"),COUNTIFS($A$11:$A$55,"T03",$Q$11:$Q$55,"Suficientes"),COUNTIFS($A$11:$A$55,"T01",$Q$11:$Q$55,"Suficientes"),COUNTIFS($A$11:$A$55,"T04",$Q$11:$Q$55,"Suficientes"),COUNTIFS($A$11:$A$55,"T07",$Q$11:$Q$55,"Suficientes"),COUNTIFS($A$11:$A$55,"T08",$Q$11:$Q$55,"Suficientes"),COUNTIFS($A$11:$A$55,"T05",$Q$11:$Q$55,"Suficientes"),COUNTIFS($A$11:$A$55,"T16",$Q$11:$Q$55,"Suficientes"))=9,"Liberadas","Pendentes")</f>
        <v/>
      </c>
      <c r="S28" s="12" t="inlineStr">
        <is>
          <t>Etapa 7: CT07 permanece crítico (parcial encerra título). Integração segura declaração sem criar quitação; ledger/componentes e sequência completa pendentes.</t>
        </is>
      </c>
      <c r="T28" s="16" t="inlineStr">
        <is>
          <t>CT03, CT07, CT23, CT30</t>
        </is>
      </c>
    </row>
    <row r="29" ht="56" customHeight="1">
      <c r="A29" s="16" t="inlineStr">
        <is>
          <t>T19</t>
        </is>
      </c>
      <c r="B29" s="16" t="inlineStr">
        <is>
          <t>Conciliar movimentos sem criar caixa duplicado</t>
        </is>
      </c>
      <c r="C29" s="16" t="inlineStr">
        <is>
          <t>3 Eventos e apropriação</t>
        </is>
      </c>
      <c r="D29" s="16" t="inlineStr">
        <is>
          <t>T05, T07, T09, T10, T16, T18</t>
        </is>
      </c>
      <c r="E29" s="12" t="str"/>
      <c r="F29" s="12" t="inlineStr">
        <is>
          <t>Não iniciada</t>
        </is>
      </c>
      <c r="G29" s="16">
        <f>IF(F29="Bloqueada","Bloqueada",IF(AND(OR(F29="Concluída",F29="Reaproveitada"),Q29="Suficientes",R29="Liberadas"),"Concluída",IF(R29&lt;&gt;"Liberadas","Aguardando dependência",IF(OR(F29="Concluída",F29="Reaproveitada"),"Em validação",F29))))</f>
        <v/>
      </c>
      <c r="H29" s="16">
        <f>IF(G29="Concluída","",IF(Q29="ID inválido","Corrigir ID duplicado",IF(R29&lt;&gt;"Liberadas","Dependências sem conclusão comprovada",IF(F29="Bloqueada","Registrar bloqueio em observações",IF(NOT(OR(F29="Concluída",F29="Reaproveitada")),"Execução ainda não concluída",IF(E29="","Definir responsável",IF(I29="","Anexar evidências",IF(J29&lt;&gt;"Aceito","Aceite técnico pendente",IF(OR(K29="",NOT(ISNUMBER(L29)),L29&lt;=0),"Registrar validador e data técnicos","Aceite financeiro pendente")))))))))</f>
        <v/>
      </c>
      <c r="I29" s="12" t="str"/>
      <c r="J29" s="12" t="inlineStr">
        <is>
          <t>Pendente</t>
        </is>
      </c>
      <c r="K29" s="12" t="str"/>
      <c r="L29" s="28" t="n"/>
      <c r="M29" s="16" t="inlineStr">
        <is>
          <t>Sim</t>
        </is>
      </c>
      <c r="N29" s="12" t="inlineStr">
        <is>
          <t>Pendente</t>
        </is>
      </c>
      <c r="O29" s="12" t="str"/>
      <c r="P29" s="28" t="n"/>
      <c r="Q29" s="16">
        <f>IF(COUNTIFS($A$11:$A$55,A29)&lt;&gt;1,"ID inválido",IF(AND(OR(F29="Concluída",F29="Reaproveitada"),E29&lt;&gt;"",I29&lt;&gt;"",J29="Aceito",K29&lt;&gt;"",ISNUMBER(L29),L29&gt;0,OR(M29="Não",AND(M29="Sim",N29="Aceito",O29&lt;&gt;"",ISNUMBER(P29),P29&gt;0))),"Suficientes","Pendentes"))</f>
        <v/>
      </c>
      <c r="R29" s="16">
        <f>IF(SUM(COUNTIFS($A$11:$A$55,"T05",$Q$11:$Q$55,"Suficientes"),COUNTIFS($A$11:$A$55,"T03",$Q$11:$Q$55,"Suficientes"),COUNTIFS($A$11:$A$55,"T01",$Q$11:$Q$55,"Suficientes"),COUNTIFS($A$11:$A$55,"T02",$Q$11:$Q$55,"Suficientes"),COUNTIFS($A$11:$A$55,"T04",$Q$11:$Q$55,"Suficientes"),COUNTIFS($A$11:$A$55,"T07",$Q$11:$Q$55,"Suficientes"),COUNTIFS($A$11:$A$55,"T09",$Q$11:$Q$55,"Suficientes"),COUNTIFS($A$11:$A$55,"T10",$Q$11:$Q$55,"Suficientes"),COUNTIFS($A$11:$A$55,"T08",$Q$11:$Q$55,"Suficientes"),COUNTIFS($A$11:$A$55,"T06",$Q$11:$Q$55,"Suficientes"),COUNTIFS($A$11:$A$55,"T16",$Q$11:$Q$55,"Suficientes"),COUNTIFS($A$11:$A$55,"T18",$Q$11:$Q$55,"Suficientes"))=12,"Liberadas","Pendentes")</f>
        <v/>
      </c>
      <c r="S29" s="12" t="str"/>
      <c r="T29" s="16" t="inlineStr">
        <is>
          <t>CT03, CT14, CT15, CT23</t>
        </is>
      </c>
    </row>
    <row r="30" ht="56" customHeight="1">
      <c r="A30" s="16" t="inlineStr">
        <is>
          <t>T20</t>
        </is>
      </c>
      <c r="B30" s="16" t="inlineStr">
        <is>
          <t>Separar adiantamento pago e sua aplicação</t>
        </is>
      </c>
      <c r="C30" s="16" t="inlineStr">
        <is>
          <t>3 Eventos e apropriação</t>
        </is>
      </c>
      <c r="D30" s="16" t="inlineStr">
        <is>
          <t>T16, T18, T19</t>
        </is>
      </c>
      <c r="E30" s="12" t="str"/>
      <c r="F30" s="12" t="inlineStr">
        <is>
          <t>Não iniciada</t>
        </is>
      </c>
      <c r="G30" s="16">
        <f>IF(F30="Bloqueada","Bloqueada",IF(AND(OR(F30="Concluída",F30="Reaproveitada"),Q30="Suficientes",R30="Liberadas"),"Concluída",IF(R30&lt;&gt;"Liberadas","Aguardando dependência",IF(OR(F30="Concluída",F30="Reaproveitada"),"Em validação",F30))))</f>
        <v/>
      </c>
      <c r="H30" s="16">
        <f>IF(G30="Concluída","",IF(Q30="ID inválido","Corrigir ID duplicado",IF(R30&lt;&gt;"Liberadas","Dependências sem conclusão comprovada",IF(F30="Bloqueada","Registrar bloqueio em observações",IF(NOT(OR(F30="Concluída",F30="Reaproveitada")),"Execução ainda não concluída",IF(E30="","Definir responsável",IF(I30="","Anexar evidências",IF(J30&lt;&gt;"Aceito","Aceite técnico pendente",IF(OR(K30="",NOT(ISNUMBER(L30)),L30&lt;=0),"Registrar validador e data técnicos","Aceite financeiro pendente")))))))))</f>
        <v/>
      </c>
      <c r="I30" s="12" t="str"/>
      <c r="J30" s="12" t="inlineStr">
        <is>
          <t>Pendente</t>
        </is>
      </c>
      <c r="K30" s="12" t="str"/>
      <c r="L30" s="28" t="n"/>
      <c r="M30" s="16" t="inlineStr">
        <is>
          <t>Sim</t>
        </is>
      </c>
      <c r="N30" s="12" t="inlineStr">
        <is>
          <t>Pendente</t>
        </is>
      </c>
      <c r="O30" s="12" t="str"/>
      <c r="P30" s="28" t="n"/>
      <c r="Q30" s="16">
        <f>IF(COUNTIFS($A$11:$A$55,A30)&lt;&gt;1,"ID inválido",IF(AND(OR(F30="Concluída",F30="Reaproveitada"),E30&lt;&gt;"",I30&lt;&gt;"",J30="Aceito",K30&lt;&gt;"",ISNUMBER(L30),L30&gt;0,OR(M30="Não",AND(M30="Sim",N30="Aceito",O30&lt;&gt;"",ISNUMBER(P30),P30&gt;0))),"Suficientes","Pendentes"))</f>
        <v/>
      </c>
      <c r="R30" s="16">
        <f>IF(SUM(COUNTIFS($A$11:$A$55,"T16",$Q$11:$Q$55,"Suficientes"),COUNTIFS($A$11:$A$55,"T04",$Q$11:$Q$55,"Suficientes"),COUNTIFS($A$11:$A$55,"T01",$Q$11:$Q$55,"Suficientes"),COUNTIFS($A$11:$A$55,"T02",$Q$11:$Q$55,"Suficientes"),COUNTIFS($A$11:$A$55,"T05",$Q$11:$Q$55,"Suficientes"),COUNTIFS($A$11:$A$55,"T03",$Q$11:$Q$55,"Suficientes"),COUNTIFS($A$11:$A$55,"T06",$Q$11:$Q$55,"Suficientes"),COUNTIFS($A$11:$A$55,"T08",$Q$11:$Q$55,"Suficientes"),COUNTIFS($A$11:$A$55,"T07",$Q$11:$Q$55,"Suficientes"),COUNTIFS($A$11:$A$55,"T18",$Q$11:$Q$55,"Suficientes"),COUNTIFS($A$11:$A$55,"T19",$Q$11:$Q$55,"Suficientes"),COUNTIFS($A$11:$A$55,"T09",$Q$11:$Q$55,"Suficientes"),COUNTIFS($A$11:$A$55,"T10",$Q$11:$Q$55,"Suficientes"))=13,"Liberadas","Pendentes")</f>
        <v/>
      </c>
      <c r="S30" s="12" t="str"/>
      <c r="T30" s="16" t="inlineStr">
        <is>
          <t>CT05, CT22, CT28</t>
        </is>
      </c>
    </row>
    <row r="31" ht="56" customHeight="1">
      <c r="A31" s="16" t="inlineStr">
        <is>
          <t>T21</t>
        </is>
      </c>
      <c r="B31" s="16" t="inlineStr">
        <is>
          <t>Desdobrar retenções e tributos sem aumentar o bruto</t>
        </is>
      </c>
      <c r="C31" s="16" t="inlineStr">
        <is>
          <t>3 Eventos e apropriação</t>
        </is>
      </c>
      <c r="D31" s="16" t="inlineStr">
        <is>
          <t>T06, T16, T18</t>
        </is>
      </c>
      <c r="E31" s="12" t="str"/>
      <c r="F31" s="12" t="inlineStr">
        <is>
          <t>Não iniciada</t>
        </is>
      </c>
      <c r="G31" s="16">
        <f>IF(F31="Bloqueada","Bloqueada",IF(AND(OR(F31="Concluída",F31="Reaproveitada"),Q31="Suficientes",R31="Liberadas"),"Concluída",IF(R31&lt;&gt;"Liberadas","Aguardando dependência",IF(OR(F31="Concluída",F31="Reaproveitada"),"Em validação",F31))))</f>
        <v/>
      </c>
      <c r="H31" s="16">
        <f>IF(G31="Concluída","",IF(Q31="ID inválido","Corrigir ID duplicado",IF(R31&lt;&gt;"Liberadas","Dependências sem conclusão comprovada",IF(F31="Bloqueada","Registrar bloqueio em observações",IF(NOT(OR(F31="Concluída",F31="Reaproveitada")),"Execução ainda não concluída",IF(E31="","Definir responsável",IF(I31="","Anexar evidências",IF(J31&lt;&gt;"Aceito","Aceite técnico pendente",IF(OR(K31="",NOT(ISNUMBER(L31)),L31&lt;=0),"Registrar validador e data técnicos","Aceite financeiro pendente")))))))))</f>
        <v/>
      </c>
      <c r="I31" s="12" t="str"/>
      <c r="J31" s="12" t="inlineStr">
        <is>
          <t>Pendente</t>
        </is>
      </c>
      <c r="K31" s="12" t="str"/>
      <c r="L31" s="28" t="n"/>
      <c r="M31" s="16" t="inlineStr">
        <is>
          <t>Sim</t>
        </is>
      </c>
      <c r="N31" s="12" t="inlineStr">
        <is>
          <t>Pendente</t>
        </is>
      </c>
      <c r="O31" s="12" t="str"/>
      <c r="P31" s="28" t="n"/>
      <c r="Q31" s="16">
        <f>IF(COUNTIFS($A$11:$A$55,A31)&lt;&gt;1,"ID inválido",IF(AND(OR(F31="Concluída",F31="Reaproveitada"),E31&lt;&gt;"",I31&lt;&gt;"",J31="Aceito",K31&lt;&gt;"",ISNUMBER(L31),L31&gt;0,OR(M31="Não",AND(M31="Sim",N31="Aceito",O31&lt;&gt;"",ISNUMBER(P31),P31&gt;0))),"Suficientes","Pendentes"))</f>
        <v/>
      </c>
      <c r="R31" s="16">
        <f>IF(SUM(COUNTIFS($A$11:$A$55,"T06",$Q$11:$Q$55,"Suficientes"),COUNTIFS($A$11:$A$55,"T02",$Q$11:$Q$55,"Suficientes"),COUNTIFS($A$11:$A$55,"T03",$Q$11:$Q$55,"Suficientes"),COUNTIFS($A$11:$A$55,"T01",$Q$11:$Q$55,"Suficientes"),COUNTIFS($A$11:$A$55,"T04",$Q$11:$Q$55,"Suficientes"),COUNTIFS($A$11:$A$55,"T16",$Q$11:$Q$55,"Suficientes"),COUNTIFS($A$11:$A$55,"T05",$Q$11:$Q$55,"Suficientes"),COUNTIFS($A$11:$A$55,"T08",$Q$11:$Q$55,"Suficientes"),COUNTIFS($A$11:$A$55,"T07",$Q$11:$Q$55,"Suficientes"),COUNTIFS($A$11:$A$55,"T18",$Q$11:$Q$55,"Suficientes"))=10,"Liberadas","Pendentes")</f>
        <v/>
      </c>
      <c r="S31" s="12" t="str"/>
      <c r="T31" s="16" t="inlineStr">
        <is>
          <t>CT06, CT28</t>
        </is>
      </c>
    </row>
    <row r="32" ht="56" customHeight="1">
      <c r="A32" s="16" t="inlineStr">
        <is>
          <t>T22</t>
        </is>
      </c>
      <c r="B32" s="16" t="inlineStr">
        <is>
          <t>Reconhecer custo e obrigação provisória sem triplicar o fato</t>
        </is>
      </c>
      <c r="C32" s="16" t="inlineStr">
        <is>
          <t>3 Eventos e apropriação</t>
        </is>
      </c>
      <c r="D32" s="16" t="inlineStr">
        <is>
          <t>T02, T06, T07, T08, T16</t>
        </is>
      </c>
      <c r="E32" s="12" t="str"/>
      <c r="F32" s="12" t="inlineStr">
        <is>
          <t>Não iniciada</t>
        </is>
      </c>
      <c r="G32" s="16">
        <f>IF(F32="Bloqueada","Bloqueada",IF(AND(OR(F32="Concluída",F32="Reaproveitada"),Q32="Suficientes",R32="Liberadas"),"Concluída",IF(R32&lt;&gt;"Liberadas","Aguardando dependência",IF(OR(F32="Concluída",F32="Reaproveitada"),"Em validação",F32))))</f>
        <v/>
      </c>
      <c r="H32" s="16">
        <f>IF(G32="Concluída","",IF(Q32="ID inválido","Corrigir ID duplicado",IF(R32&lt;&gt;"Liberadas","Dependências sem conclusão comprovada",IF(F32="Bloqueada","Registrar bloqueio em observações",IF(NOT(OR(F32="Concluída",F32="Reaproveitada")),"Execução ainda não concluída",IF(E32="","Definir responsável",IF(I32="","Anexar evidências",IF(J32&lt;&gt;"Aceito","Aceite técnico pendente",IF(OR(K32="",NOT(ISNUMBER(L32)),L32&lt;=0),"Registrar validador e data técnicos","Aceite financeiro pendente")))))))))</f>
        <v/>
      </c>
      <c r="I32" s="12" t="str"/>
      <c r="J32" s="12" t="inlineStr">
        <is>
          <t>Pendente</t>
        </is>
      </c>
      <c r="K32" s="12" t="str"/>
      <c r="L32" s="28" t="n"/>
      <c r="M32" s="16" t="inlineStr">
        <is>
          <t>Sim</t>
        </is>
      </c>
      <c r="N32" s="12" t="inlineStr">
        <is>
          <t>Pendente</t>
        </is>
      </c>
      <c r="O32" s="12" t="str"/>
      <c r="P32" s="28" t="n"/>
      <c r="Q32" s="16">
        <f>IF(COUNTIFS($A$11:$A$55,A32)&lt;&gt;1,"ID inválido",IF(AND(OR(F32="Concluída",F32="Reaproveitada"),E32&lt;&gt;"",I32&lt;&gt;"",J32="Aceito",K32&lt;&gt;"",ISNUMBER(L32),L32&gt;0,OR(M32="Não",AND(M32="Sim",N32="Aceito",O32&lt;&gt;"",ISNUMBER(P32),P32&gt;0))),"Suficientes","Pendentes"))</f>
        <v/>
      </c>
      <c r="R32" s="16">
        <f>IF(SUM(COUNTIFS($A$11:$A$55,"T02",$Q$11:$Q$55,"Suficientes"),COUNTIFS($A$11:$A$55,"T06",$Q$11:$Q$55,"Suficientes"),COUNTIFS($A$11:$A$55,"T03",$Q$11:$Q$55,"Suficientes"),COUNTIFS($A$11:$A$55,"T01",$Q$11:$Q$55,"Suficientes"),COUNTIFS($A$11:$A$55,"T04",$Q$11:$Q$55,"Suficientes"),COUNTIFS($A$11:$A$55,"T07",$Q$11:$Q$55,"Suficientes"),COUNTIFS($A$11:$A$55,"T08",$Q$11:$Q$55,"Suficientes"),COUNTIFS($A$11:$A$55,"T05",$Q$11:$Q$55,"Suficientes"),COUNTIFS($A$11:$A$55,"T16",$Q$11:$Q$55,"Suficientes"))=9,"Liberadas","Pendentes")</f>
        <v/>
      </c>
      <c r="S32" s="12" t="str"/>
      <c r="T32" s="16" t="inlineStr">
        <is>
          <t>CT09, CT27</t>
        </is>
      </c>
    </row>
    <row r="33" ht="56" customHeight="1">
      <c r="A33" s="16" t="inlineStr">
        <is>
          <t>T23</t>
        </is>
      </c>
      <c r="B33" s="16" t="inlineStr">
        <is>
          <t>Estornar liquidação e registrar devolução como fatos distintos</t>
        </is>
      </c>
      <c r="C33" s="16" t="inlineStr">
        <is>
          <t>3 Eventos e apropriação</t>
        </is>
      </c>
      <c r="D33" s="16" t="inlineStr">
        <is>
          <t>T08, T18, T19</t>
        </is>
      </c>
      <c r="E33" s="12" t="str"/>
      <c r="F33" s="12" t="inlineStr">
        <is>
          <t>Não iniciada</t>
        </is>
      </c>
      <c r="G33" s="16">
        <f>IF(F33="Bloqueada","Bloqueada",IF(AND(OR(F33="Concluída",F33="Reaproveitada"),Q33="Suficientes",R33="Liberadas"),"Concluída",IF(R33&lt;&gt;"Liberadas","Aguardando dependência",IF(OR(F33="Concluída",F33="Reaproveitada"),"Em validação",F33))))</f>
        <v/>
      </c>
      <c r="H33" s="16">
        <f>IF(G33="Concluída","",IF(Q33="ID inválido","Corrigir ID duplicado",IF(R33&lt;&gt;"Liberadas","Dependências sem conclusão comprovada",IF(F33="Bloqueada","Registrar bloqueio em observações",IF(NOT(OR(F33="Concluída",F33="Reaproveitada")),"Execução ainda não concluída",IF(E33="","Definir responsável",IF(I33="","Anexar evidências",IF(J33&lt;&gt;"Aceito","Aceite técnico pendente",IF(OR(K33="",NOT(ISNUMBER(L33)),L33&lt;=0),"Registrar validador e data técnicos","Aceite financeiro pendente")))))))))</f>
        <v/>
      </c>
      <c r="I33" s="12" t="str"/>
      <c r="J33" s="12" t="inlineStr">
        <is>
          <t>Pendente</t>
        </is>
      </c>
      <c r="K33" s="12" t="str"/>
      <c r="L33" s="28" t="n"/>
      <c r="M33" s="16" t="inlineStr">
        <is>
          <t>Sim</t>
        </is>
      </c>
      <c r="N33" s="12" t="inlineStr">
        <is>
          <t>Pendente</t>
        </is>
      </c>
      <c r="O33" s="12" t="str"/>
      <c r="P33" s="28" t="n"/>
      <c r="Q33" s="16">
        <f>IF(COUNTIFS($A$11:$A$55,A33)&lt;&gt;1,"ID inválido",IF(AND(OR(F33="Concluída",F33="Reaproveitada"),E33&lt;&gt;"",I33&lt;&gt;"",J33="Aceito",K33&lt;&gt;"",ISNUMBER(L33),L33&gt;0,OR(M33="Não",AND(M33="Sim",N33="Aceito",O33&lt;&gt;"",ISNUMBER(P33),P33&gt;0))),"Suficientes","Pendentes"))</f>
        <v/>
      </c>
      <c r="R33" s="16">
        <f>IF(SUM(COUNTIFS($A$11:$A$55,"T08",$Q$11:$Q$55,"Suficientes"),COUNTIFS($A$11:$A$55,"T04",$Q$11:$Q$55,"Suficientes"),COUNTIFS($A$11:$A$55,"T01",$Q$11:$Q$55,"Suficientes"),COUNTIFS($A$11:$A$55,"T02",$Q$11:$Q$55,"Suficientes"),COUNTIFS($A$11:$A$55,"T05",$Q$11:$Q$55,"Suficientes"),COUNTIFS($A$11:$A$55,"T03",$Q$11:$Q$55,"Suficientes"),COUNTIFS($A$11:$A$55,"T06",$Q$11:$Q$55,"Suficientes"),COUNTIFS($A$11:$A$55,"T07",$Q$11:$Q$55,"Suficientes"),COUNTIFS($A$11:$A$55,"T18",$Q$11:$Q$55,"Suficientes"),COUNTIFS($A$11:$A$55,"T16",$Q$11:$Q$55,"Suficientes"),COUNTIFS($A$11:$A$55,"T19",$Q$11:$Q$55,"Suficientes"),COUNTIFS($A$11:$A$55,"T09",$Q$11:$Q$55,"Suficientes"),COUNTIFS($A$11:$A$55,"T10",$Q$11:$Q$55,"Suficientes"))=13,"Liberadas","Pendentes")</f>
        <v/>
      </c>
      <c r="S33" s="12" t="str"/>
      <c r="T33" s="16" t="inlineStr">
        <is>
          <t>CT08, CT10</t>
        </is>
      </c>
    </row>
    <row r="34" ht="56" customHeight="1">
      <c r="A34" s="16" t="inlineStr">
        <is>
          <t>T24</t>
        </is>
      </c>
      <c r="B34" s="16" t="inlineStr">
        <is>
          <t>Distinguir cancelamento documental e extinção da obrigação</t>
        </is>
      </c>
      <c r="C34" s="16" t="inlineStr">
        <is>
          <t>3 Eventos e apropriação</t>
        </is>
      </c>
      <c r="D34" s="16" t="inlineStr">
        <is>
          <t>T08, T16, T22, T23</t>
        </is>
      </c>
      <c r="E34" s="12" t="str"/>
      <c r="F34" s="12" t="inlineStr">
        <is>
          <t>Não iniciada</t>
        </is>
      </c>
      <c r="G34" s="16">
        <f>IF(F34="Bloqueada","Bloqueada",IF(AND(OR(F34="Concluída",F34="Reaproveitada"),Q34="Suficientes",R34="Liberadas"),"Concluída",IF(R34&lt;&gt;"Liberadas","Aguardando dependência",IF(OR(F34="Concluída",F34="Reaproveitada"),"Em validação",F34))))</f>
        <v/>
      </c>
      <c r="H34" s="16">
        <f>IF(G34="Concluída","",IF(Q34="ID inválido","Corrigir ID duplicado",IF(R34&lt;&gt;"Liberadas","Dependências sem conclusão comprovada",IF(F34="Bloqueada","Registrar bloqueio em observações",IF(NOT(OR(F34="Concluída",F34="Reaproveitada")),"Execução ainda não concluída",IF(E34="","Definir responsável",IF(I34="","Anexar evidências",IF(J34&lt;&gt;"Aceito","Aceite técnico pendente",IF(OR(K34="",NOT(ISNUMBER(L34)),L34&lt;=0),"Registrar validador e data técnicos","Aceite financeiro pendente")))))))))</f>
        <v/>
      </c>
      <c r="I34" s="12" t="str"/>
      <c r="J34" s="12" t="inlineStr">
        <is>
          <t>Pendente</t>
        </is>
      </c>
      <c r="K34" s="12" t="str"/>
      <c r="L34" s="28" t="n"/>
      <c r="M34" s="16" t="inlineStr">
        <is>
          <t>Sim</t>
        </is>
      </c>
      <c r="N34" s="12" t="inlineStr">
        <is>
          <t>Pendente</t>
        </is>
      </c>
      <c r="O34" s="12" t="str"/>
      <c r="P34" s="28" t="n"/>
      <c r="Q34" s="16">
        <f>IF(COUNTIFS($A$11:$A$55,A34)&lt;&gt;1,"ID inválido",IF(AND(OR(F34="Concluída",F34="Reaproveitada"),E34&lt;&gt;"",I34&lt;&gt;"",J34="Aceito",K34&lt;&gt;"",ISNUMBER(L34),L34&gt;0,OR(M34="Não",AND(M34="Sim",N34="Aceito",O34&lt;&gt;"",ISNUMBER(P34),P34&gt;0))),"Suficientes","Pendentes"))</f>
        <v/>
      </c>
      <c r="R34" s="16">
        <f>IF(SUM(COUNTIFS($A$11:$A$55,"T08",$Q$11:$Q$55,"Suficientes"),COUNTIFS($A$11:$A$55,"T04",$Q$11:$Q$55,"Suficientes"),COUNTIFS($A$11:$A$55,"T01",$Q$11:$Q$55,"Suficientes"),COUNTIFS($A$11:$A$55,"T02",$Q$11:$Q$55,"Suficientes"),COUNTIFS($A$11:$A$55,"T05",$Q$11:$Q$55,"Suficientes"),COUNTIFS($A$11:$A$55,"T03",$Q$11:$Q$55,"Suficientes"),COUNTIFS($A$11:$A$55,"T06",$Q$11:$Q$55,"Suficientes"),COUNTIFS($A$11:$A$55,"T07",$Q$11:$Q$55,"Suficientes"),COUNTIFS($A$11:$A$55,"T16",$Q$11:$Q$55,"Suficientes"),COUNTIFS($A$11:$A$55,"T22",$Q$11:$Q$55,"Suficientes"),COUNTIFS($A$11:$A$55,"T23",$Q$11:$Q$55,"Suficientes"),COUNTIFS($A$11:$A$55,"T18",$Q$11:$Q$55,"Suficientes"),COUNTIFS($A$11:$A$55,"T19",$Q$11:$Q$55,"Suficientes"),COUNTIFS($A$11:$A$55,"T09",$Q$11:$Q$55,"Suficientes"),COUNTIFS($A$11:$A$55,"T10",$Q$11:$Q$55,"Suficientes"))=15,"Liberadas","Pendentes")</f>
        <v/>
      </c>
      <c r="S34" s="12" t="str"/>
      <c r="T34" s="16" t="inlineStr">
        <is>
          <t>CT09, CT10</t>
        </is>
      </c>
    </row>
    <row r="35" ht="56" customHeight="1">
      <c r="A35" s="16" t="inlineStr">
        <is>
          <t>T25</t>
        </is>
      </c>
      <c r="B35" s="16" t="inlineStr">
        <is>
          <t>Versionar compromissos firmes e aditivos por escopo</t>
        </is>
      </c>
      <c r="C35" s="16" t="inlineStr">
        <is>
          <t>4 Contratos orçamento e previsão</t>
        </is>
      </c>
      <c r="D35" s="16" t="inlineStr">
        <is>
          <t>T02, T08, T16</t>
        </is>
      </c>
      <c r="E35" s="12" t="str"/>
      <c r="F35" s="12" t="inlineStr">
        <is>
          <t>Não iniciada</t>
        </is>
      </c>
      <c r="G35" s="16">
        <f>IF(F35="Bloqueada","Bloqueada",IF(AND(OR(F35="Concluída",F35="Reaproveitada"),Q35="Suficientes",R35="Liberadas"),"Concluída",IF(R35&lt;&gt;"Liberadas","Aguardando dependência",IF(OR(F35="Concluída",F35="Reaproveitada"),"Em validação",F35))))</f>
        <v/>
      </c>
      <c r="H35" s="16">
        <f>IF(G35="Concluída","",IF(Q35="ID inválido","Corrigir ID duplicado",IF(R35&lt;&gt;"Liberadas","Dependências sem conclusão comprovada",IF(F35="Bloqueada","Registrar bloqueio em observações",IF(NOT(OR(F35="Concluída",F35="Reaproveitada")),"Execução ainda não concluída",IF(E35="","Definir responsável",IF(I35="","Anexar evidências",IF(J35&lt;&gt;"Aceito","Aceite técnico pendente",IF(OR(K35="",NOT(ISNUMBER(L35)),L35&lt;=0),"Registrar validador e data técnicos","Aceite financeiro pendente")))))))))</f>
        <v/>
      </c>
      <c r="I35" s="12" t="str"/>
      <c r="J35" s="12" t="inlineStr">
        <is>
          <t>Pendente</t>
        </is>
      </c>
      <c r="K35" s="12" t="str"/>
      <c r="L35" s="28" t="n"/>
      <c r="M35" s="16" t="inlineStr">
        <is>
          <t>Sim</t>
        </is>
      </c>
      <c r="N35" s="12" t="inlineStr">
        <is>
          <t>Pendente</t>
        </is>
      </c>
      <c r="O35" s="12" t="str"/>
      <c r="P35" s="28" t="n"/>
      <c r="Q35" s="16">
        <f>IF(COUNTIFS($A$11:$A$55,A35)&lt;&gt;1,"ID inválido",IF(AND(OR(F35="Concluída",F35="Reaproveitada"),E35&lt;&gt;"",I35&lt;&gt;"",J35="Aceito",K35&lt;&gt;"",ISNUMBER(L35),L35&gt;0,OR(M35="Não",AND(M35="Sim",N35="Aceito",O35&lt;&gt;"",ISNUMBER(P35),P35&gt;0))),"Suficientes","Pendentes"))</f>
        <v/>
      </c>
      <c r="R35" s="16">
        <f>IF(SUM(COUNTIFS($A$11:$A$55,"T02",$Q$11:$Q$55,"Suficientes"),COUNTIFS($A$11:$A$55,"T08",$Q$11:$Q$55,"Suficientes"),COUNTIFS($A$11:$A$55,"T04",$Q$11:$Q$55,"Suficientes"),COUNTIFS($A$11:$A$55,"T01",$Q$11:$Q$55,"Suficientes"),COUNTIFS($A$11:$A$55,"T05",$Q$11:$Q$55,"Suficientes"),COUNTIFS($A$11:$A$55,"T03",$Q$11:$Q$55,"Suficientes"),COUNTIFS($A$11:$A$55,"T06",$Q$11:$Q$55,"Suficientes"),COUNTIFS($A$11:$A$55,"T07",$Q$11:$Q$55,"Suficientes"),COUNTIFS($A$11:$A$55,"T16",$Q$11:$Q$55,"Suficientes"))=9,"Liberadas","Pendentes")</f>
        <v/>
      </c>
      <c r="S35" s="12" t="str"/>
      <c r="T35" s="16" t="inlineStr">
        <is>
          <t>CT18, CT19</t>
        </is>
      </c>
    </row>
    <row r="36" ht="56" customHeight="1">
      <c r="A36" s="16" t="inlineStr">
        <is>
          <t>T26</t>
        </is>
      </c>
      <c r="B36" s="16" t="inlineStr">
        <is>
          <t>Calcular a cobertura financeira por item</t>
        </is>
      </c>
      <c r="C36" s="16" t="inlineStr">
        <is>
          <t>4 Contratos orçamento e previsão</t>
        </is>
      </c>
      <c r="D36" s="16" t="inlineStr">
        <is>
          <t>T16, T18, T20, T21, T24, T25</t>
        </is>
      </c>
      <c r="E36" s="12" t="str"/>
      <c r="F36" s="12" t="inlineStr">
        <is>
          <t>Não iniciada</t>
        </is>
      </c>
      <c r="G36" s="16">
        <f>IF(F36="Bloqueada","Bloqueada",IF(AND(OR(F36="Concluída",F36="Reaproveitada"),Q36="Suficientes",R36="Liberadas"),"Concluída",IF(R36&lt;&gt;"Liberadas","Aguardando dependência",IF(OR(F36="Concluída",F36="Reaproveitada"),"Em validação",F36))))</f>
        <v/>
      </c>
      <c r="H36" s="16">
        <f>IF(G36="Concluída","",IF(Q36="ID inválido","Corrigir ID duplicado",IF(R36&lt;&gt;"Liberadas","Dependências sem conclusão comprovada",IF(F36="Bloqueada","Registrar bloqueio em observações",IF(NOT(OR(F36="Concluída",F36="Reaproveitada")),"Execução ainda não concluída",IF(E36="","Definir responsável",IF(I36="","Anexar evidências",IF(J36&lt;&gt;"Aceito","Aceite técnico pendente",IF(OR(K36="",NOT(ISNUMBER(L36)),L36&lt;=0),"Registrar validador e data técnicos","Aceite financeiro pendente")))))))))</f>
        <v/>
      </c>
      <c r="I36" s="12" t="str"/>
      <c r="J36" s="12" t="inlineStr">
        <is>
          <t>Pendente</t>
        </is>
      </c>
      <c r="K36" s="12" t="str"/>
      <c r="L36" s="28" t="n"/>
      <c r="M36" s="16" t="inlineStr">
        <is>
          <t>Sim</t>
        </is>
      </c>
      <c r="N36" s="12" t="inlineStr">
        <is>
          <t>Pendente</t>
        </is>
      </c>
      <c r="O36" s="12" t="str"/>
      <c r="P36" s="28" t="n"/>
      <c r="Q36" s="16">
        <f>IF(COUNTIFS($A$11:$A$55,A36)&lt;&gt;1,"ID inválido",IF(AND(OR(F36="Concluída",F36="Reaproveitada"),E36&lt;&gt;"",I36&lt;&gt;"",J36="Aceito",K36&lt;&gt;"",ISNUMBER(L36),L36&gt;0,OR(M36="Não",AND(M36="Sim",N36="Aceito",O36&lt;&gt;"",ISNUMBER(P36),P36&gt;0))),"Suficientes","Pendentes"))</f>
        <v/>
      </c>
      <c r="R36" s="16">
        <f>IF(SUM(COUNTIFS($A$11:$A$55,"T16",$Q$11:$Q$55,"Suficientes"),COUNTIFS($A$11:$A$55,"T04",$Q$11:$Q$55,"Suficientes"),COUNTIFS($A$11:$A$55,"T01",$Q$11:$Q$55,"Suficientes"),COUNTIFS($A$11:$A$55,"T02",$Q$11:$Q$55,"Suficientes"),COUNTIFS($A$11:$A$55,"T05",$Q$11:$Q$55,"Suficientes"),COUNTIFS($A$11:$A$55,"T03",$Q$11:$Q$55,"Suficientes"),COUNTIFS($A$11:$A$55,"T06",$Q$11:$Q$55,"Suficientes"),COUNTIFS($A$11:$A$55,"T08",$Q$11:$Q$55,"Suficientes"),COUNTIFS($A$11:$A$55,"T07",$Q$11:$Q$55,"Suficientes"),COUNTIFS($A$11:$A$55,"T18",$Q$11:$Q$55,"Suficientes"),COUNTIFS($A$11:$A$55,"T20",$Q$11:$Q$55,"Suficientes"),COUNTIFS($A$11:$A$55,"T19",$Q$11:$Q$55,"Suficientes"),COUNTIFS($A$11:$A$55,"T09",$Q$11:$Q$55,"Suficientes"),COUNTIFS($A$11:$A$55,"T10",$Q$11:$Q$55,"Suficientes"),COUNTIFS($A$11:$A$55,"T21",$Q$11:$Q$55,"Suficientes"),COUNTIFS($A$11:$A$55,"T24",$Q$11:$Q$55,"Suficientes"),COUNTIFS($A$11:$A$55,"T22",$Q$11:$Q$55,"Suficientes"),COUNTIFS($A$11:$A$55,"T23",$Q$11:$Q$55,"Suficientes"),COUNTIFS($A$11:$A$55,"T25",$Q$11:$Q$55,"Suficientes"))=19,"Liberadas","Pendentes")</f>
        <v/>
      </c>
      <c r="S36" s="12" t="str"/>
      <c r="T36" s="16" t="inlineStr">
        <is>
          <t>CT05, CT06, CT18, CT28</t>
        </is>
      </c>
    </row>
    <row r="37" ht="56" customHeight="1">
      <c r="A37" s="16" t="inlineStr">
        <is>
          <t>T27</t>
        </is>
      </c>
      <c r="B37" s="16" t="inlineStr">
        <is>
          <t>Validar e versionar o orçamento de referência</t>
        </is>
      </c>
      <c r="C37" s="16" t="inlineStr">
        <is>
          <t>4 Contratos orçamento e previsão</t>
        </is>
      </c>
      <c r="D37" s="16" t="inlineStr">
        <is>
          <t>T01, T02, T06, T08</t>
        </is>
      </c>
      <c r="E37" s="12" t="str"/>
      <c r="F37" s="12" t="inlineStr">
        <is>
          <t>Não iniciada</t>
        </is>
      </c>
      <c r="G37" s="16">
        <f>IF(F37="Bloqueada","Bloqueada",IF(AND(OR(F37="Concluída",F37="Reaproveitada"),Q37="Suficientes",R37="Liberadas"),"Concluída",IF(R37&lt;&gt;"Liberadas","Aguardando dependência",IF(OR(F37="Concluída",F37="Reaproveitada"),"Em validação",F37))))</f>
        <v/>
      </c>
      <c r="H37" s="16">
        <f>IF(G37="Concluída","",IF(Q37="ID inválido","Corrigir ID duplicado",IF(R37&lt;&gt;"Liberadas","Dependências sem conclusão comprovada",IF(F37="Bloqueada","Registrar bloqueio em observações",IF(NOT(OR(F37="Concluída",F37="Reaproveitada")),"Execução ainda não concluída",IF(E37="","Definir responsável",IF(I37="","Anexar evidências",IF(J37&lt;&gt;"Aceito","Aceite técnico pendente",IF(OR(K37="",NOT(ISNUMBER(L37)),L37&lt;=0),"Registrar validador e data técnicos","Aceite financeiro pendente")))))))))</f>
        <v/>
      </c>
      <c r="I37" s="12" t="str"/>
      <c r="J37" s="12" t="inlineStr">
        <is>
          <t>Pendente</t>
        </is>
      </c>
      <c r="K37" s="12" t="str"/>
      <c r="L37" s="28" t="n"/>
      <c r="M37" s="16" t="inlineStr">
        <is>
          <t>Sim</t>
        </is>
      </c>
      <c r="N37" s="12" t="inlineStr">
        <is>
          <t>Pendente</t>
        </is>
      </c>
      <c r="O37" s="12" t="str"/>
      <c r="P37" s="28" t="n"/>
      <c r="Q37" s="16">
        <f>IF(COUNTIFS($A$11:$A$55,A37)&lt;&gt;1,"ID inválido",IF(AND(OR(F37="Concluída",F37="Reaproveitada"),E37&lt;&gt;"",I37&lt;&gt;"",J37="Aceito",K37&lt;&gt;"",ISNUMBER(L37),L37&gt;0,OR(M37="Não",AND(M37="Sim",N37="Aceito",O37&lt;&gt;"",ISNUMBER(P37),P37&gt;0))),"Suficientes","Pendentes"))</f>
        <v/>
      </c>
      <c r="R37" s="16">
        <f>IF(SUM(COUNTIFS($A$11:$A$55,"T01",$Q$11:$Q$55,"Suficientes"),COUNTIFS($A$11:$A$55,"T02",$Q$11:$Q$55,"Suficientes"),COUNTIFS($A$11:$A$55,"T06",$Q$11:$Q$55,"Suficientes"),COUNTIFS($A$11:$A$55,"T03",$Q$11:$Q$55,"Suficientes"),COUNTIFS($A$11:$A$55,"T04",$Q$11:$Q$55,"Suficientes"),COUNTIFS($A$11:$A$55,"T08",$Q$11:$Q$55,"Suficientes"),COUNTIFS($A$11:$A$55,"T05",$Q$11:$Q$55,"Suficientes"),COUNTIFS($A$11:$A$55,"T07",$Q$11:$Q$55,"Suficientes"))=8,"Liberadas","Pendentes")</f>
        <v/>
      </c>
      <c r="S37" s="12" t="str"/>
      <c r="T37" s="16" t="inlineStr">
        <is>
          <t>CT19, CT21</t>
        </is>
      </c>
    </row>
    <row r="38" ht="56" customHeight="1">
      <c r="A38" s="16" t="inlineStr">
        <is>
          <t>T28</t>
        </is>
      </c>
      <c r="B38" s="16" t="inlineStr">
        <is>
          <t>Separar previsão econômica e financeira por escopo</t>
        </is>
      </c>
      <c r="C38" s="16" t="inlineStr">
        <is>
          <t>4 Contratos orçamento e previsão</t>
        </is>
      </c>
      <c r="D38" s="16" t="inlineStr">
        <is>
          <t>T17, T22, T25, T26</t>
        </is>
      </c>
      <c r="E38" s="12" t="str"/>
      <c r="F38" s="12" t="inlineStr">
        <is>
          <t>Não iniciada</t>
        </is>
      </c>
      <c r="G38" s="16">
        <f>IF(F38="Bloqueada","Bloqueada",IF(AND(OR(F38="Concluída",F38="Reaproveitada"),Q38="Suficientes",R38="Liberadas"),"Concluída",IF(R38&lt;&gt;"Liberadas","Aguardando dependência",IF(OR(F38="Concluída",F38="Reaproveitada"),"Em validação",F38))))</f>
        <v/>
      </c>
      <c r="H38" s="16">
        <f>IF(G38="Concluída","",IF(Q38="ID inválido","Corrigir ID duplicado",IF(R38&lt;&gt;"Liberadas","Dependências sem conclusão comprovada",IF(F38="Bloqueada","Registrar bloqueio em observações",IF(NOT(OR(F38="Concluída",F38="Reaproveitada")),"Execução ainda não concluída",IF(E38="","Definir responsável",IF(I38="","Anexar evidências",IF(J38&lt;&gt;"Aceito","Aceite técnico pendente",IF(OR(K38="",NOT(ISNUMBER(L38)),L38&lt;=0),"Registrar validador e data técnicos","Aceite financeiro pendente")))))))))</f>
        <v/>
      </c>
      <c r="I38" s="12" t="str"/>
      <c r="J38" s="12" t="inlineStr">
        <is>
          <t>Pendente</t>
        </is>
      </c>
      <c r="K38" s="12" t="str"/>
      <c r="L38" s="28" t="n"/>
      <c r="M38" s="16" t="inlineStr">
        <is>
          <t>Sim</t>
        </is>
      </c>
      <c r="N38" s="12" t="inlineStr">
        <is>
          <t>Pendente</t>
        </is>
      </c>
      <c r="O38" s="12" t="str"/>
      <c r="P38" s="28" t="n"/>
      <c r="Q38" s="16">
        <f>IF(COUNTIFS($A$11:$A$55,A38)&lt;&gt;1,"ID inválido",IF(AND(OR(F38="Concluída",F38="Reaproveitada"),E38&lt;&gt;"",I38&lt;&gt;"",J38="Aceito",K38&lt;&gt;"",ISNUMBER(L38),L38&gt;0,OR(M38="Não",AND(M38="Sim",N38="Aceito",O38&lt;&gt;"",ISNUMBER(P38),P38&gt;0))),"Suficientes","Pendentes"))</f>
        <v/>
      </c>
      <c r="R38" s="16">
        <f>IF(SUM(COUNTIFS($A$11:$A$55,"T17",$Q$11:$Q$55,"Suficientes"),COUNTIFS($A$11:$A$55,"T02",$Q$11:$Q$55,"Suficientes"),COUNTIFS($A$11:$A$55,"T06",$Q$11:$Q$55,"Suficientes"),COUNTIFS($A$11:$A$55,"T03",$Q$11:$Q$55,"Suficientes"),COUNTIFS($A$11:$A$55,"T01",$Q$11:$Q$55,"Suficientes"),COUNTIFS($A$11:$A$55,"T04",$Q$11:$Q$55,"Suficientes"),COUNTIFS($A$11:$A$55,"T08",$Q$11:$Q$55,"Suficientes"),COUNTIFS($A$11:$A$55,"T05",$Q$11:$Q$55,"Suficientes"),COUNTIFS($A$11:$A$55,"T07",$Q$11:$Q$55,"Suficientes"),COUNTIFS($A$11:$A$55,"T15",$Q$11:$Q$55,"Suficientes"),COUNTIFS($A$11:$A$55,"T09",$Q$11:$Q$55,"Suficientes"),COUNTIFS($A$11:$A$55,"T16",$Q$11:$Q$55,"Suficientes"),COUNTIFS($A$11:$A$55,"T22",$Q$11:$Q$55,"Suficientes"),COUNTIFS($A$11:$A$55,"T25",$Q$11:$Q$55,"Suficientes"),COUNTIFS($A$11:$A$55,"T26",$Q$11:$Q$55,"Suficientes"),COUNTIFS($A$11:$A$55,"T18",$Q$11:$Q$55,"Suficientes"),COUNTIFS($A$11:$A$55,"T20",$Q$11:$Q$55,"Suficientes"),COUNTIFS($A$11:$A$55,"T19",$Q$11:$Q$55,"Suficientes"),COUNTIFS($A$11:$A$55,"T10",$Q$11:$Q$55,"Suficientes"),COUNTIFS($A$11:$A$55,"T21",$Q$11:$Q$55,"Suficientes"),COUNTIFS($A$11:$A$55,"T24",$Q$11:$Q$55,"Suficientes"),COUNTIFS($A$11:$A$55,"T23",$Q$11:$Q$55,"Suficientes"))=22,"Liberadas","Pendentes")</f>
        <v/>
      </c>
      <c r="S38" s="12" t="str"/>
      <c r="T38" s="16" t="inlineStr">
        <is>
          <t>CT18, CT19, CT25, CT27, CT28</t>
        </is>
      </c>
    </row>
    <row r="39" ht="56" customHeight="1">
      <c r="A39" s="16" t="inlineStr">
        <is>
          <t>T29</t>
        </is>
      </c>
      <c r="B39" s="16" t="inlineStr">
        <is>
          <t>Reprogramar somente os eventos futuros e versionar cenários</t>
        </is>
      </c>
      <c r="C39" s="16" t="inlineStr">
        <is>
          <t>4 Contratos orçamento e previsão</t>
        </is>
      </c>
      <c r="D39" s="16" t="inlineStr">
        <is>
          <t>T07, T08, T25, T28</t>
        </is>
      </c>
      <c r="E39" s="12" t="str"/>
      <c r="F39" s="12" t="inlineStr">
        <is>
          <t>Não iniciada</t>
        </is>
      </c>
      <c r="G39" s="16">
        <f>IF(F39="Bloqueada","Bloqueada",IF(AND(OR(F39="Concluída",F39="Reaproveitada"),Q39="Suficientes",R39="Liberadas"),"Concluída",IF(R39&lt;&gt;"Liberadas","Aguardando dependência",IF(OR(F39="Concluída",F39="Reaproveitada"),"Em validação",F39))))</f>
        <v/>
      </c>
      <c r="H39" s="16">
        <f>IF(G39="Concluída","",IF(Q39="ID inválido","Corrigir ID duplicado",IF(R39&lt;&gt;"Liberadas","Dependências sem conclusão comprovada",IF(F39="Bloqueada","Registrar bloqueio em observações",IF(NOT(OR(F39="Concluída",F39="Reaproveitada")),"Execução ainda não concluída",IF(E39="","Definir responsável",IF(I39="","Anexar evidências",IF(J39&lt;&gt;"Aceito","Aceite técnico pendente",IF(OR(K39="",NOT(ISNUMBER(L39)),L39&lt;=0),"Registrar validador e data técnicos","Aceite financeiro pendente")))))))))</f>
        <v/>
      </c>
      <c r="I39" s="12" t="str"/>
      <c r="J39" s="12" t="inlineStr">
        <is>
          <t>Pendente</t>
        </is>
      </c>
      <c r="K39" s="12" t="str"/>
      <c r="L39" s="28" t="n"/>
      <c r="M39" s="16" t="inlineStr">
        <is>
          <t>Sim</t>
        </is>
      </c>
      <c r="N39" s="12" t="inlineStr">
        <is>
          <t>Pendente</t>
        </is>
      </c>
      <c r="O39" s="12" t="str"/>
      <c r="P39" s="28" t="n"/>
      <c r="Q39" s="16">
        <f>IF(COUNTIFS($A$11:$A$55,A39)&lt;&gt;1,"ID inválido",IF(AND(OR(F39="Concluída",F39="Reaproveitada"),E39&lt;&gt;"",I39&lt;&gt;"",J39="Aceito",K39&lt;&gt;"",ISNUMBER(L39),L39&gt;0,OR(M39="Não",AND(M39="Sim",N39="Aceito",O39&lt;&gt;"",ISNUMBER(P39),P39&gt;0))),"Suficientes","Pendentes"))</f>
        <v/>
      </c>
      <c r="R39" s="16">
        <f>IF(SUM(COUNTIFS($A$11:$A$55,"T07",$Q$11:$Q$55,"Suficientes"),COUNTIFS($A$11:$A$55,"T02",$Q$11:$Q$55,"Suficientes"),COUNTIFS($A$11:$A$55,"T03",$Q$11:$Q$55,"Suficientes"),COUNTIFS($A$11:$A$55,"T01",$Q$11:$Q$55,"Suficientes"),COUNTIFS($A$11:$A$55,"T04",$Q$11:$Q$55,"Suficientes"),COUNTIFS($A$11:$A$55,"T08",$Q$11:$Q$55,"Suficientes"),COUNTIFS($A$11:$A$55,"T05",$Q$11:$Q$55,"Suficientes"),COUNTIFS($A$11:$A$55,"T06",$Q$11:$Q$55,"Suficientes"),COUNTIFS($A$11:$A$55,"T25",$Q$11:$Q$55,"Suficientes"),COUNTIFS($A$11:$A$55,"T16",$Q$11:$Q$55,"Suficientes"),COUNTIFS($A$11:$A$55,"T28",$Q$11:$Q$55,"Suficientes"),COUNTIFS($A$11:$A$55,"T17",$Q$11:$Q$55,"Suficientes"),COUNTIFS($A$11:$A$55,"T15",$Q$11:$Q$55,"Suficientes"),COUNTIFS($A$11:$A$55,"T09",$Q$11:$Q$55,"Suficientes"),COUNTIFS($A$11:$A$55,"T22",$Q$11:$Q$55,"Suficientes"),COUNTIFS($A$11:$A$55,"T26",$Q$11:$Q$55,"Suficientes"),COUNTIFS($A$11:$A$55,"T18",$Q$11:$Q$55,"Suficientes"),COUNTIFS($A$11:$A$55,"T20",$Q$11:$Q$55,"Suficientes"),COUNTIFS($A$11:$A$55,"T19",$Q$11:$Q$55,"Suficientes"),COUNTIFS($A$11:$A$55,"T10",$Q$11:$Q$55,"Suficientes"),COUNTIFS($A$11:$A$55,"T21",$Q$11:$Q$55,"Suficientes"),COUNTIFS($A$11:$A$55,"T24",$Q$11:$Q$55,"Suficientes"),COUNTIFS($A$11:$A$55,"T23",$Q$11:$Q$55,"Suficientes"))=23,"Liberadas","Pendentes")</f>
        <v/>
      </c>
      <c r="S39" s="12" t="str"/>
      <c r="T39" s="16" t="inlineStr">
        <is>
          <t>CT17</t>
        </is>
      </c>
    </row>
    <row r="40" ht="56" customHeight="1">
      <c r="A40" s="16" t="inlineStr">
        <is>
          <t>T30</t>
        </is>
      </c>
      <c r="B40" s="16" t="inlineStr">
        <is>
          <t>Publicar a composição R C P Q e os ajustes futuros</t>
        </is>
      </c>
      <c r="C40" s="16" t="inlineStr">
        <is>
          <t>4 Contratos orçamento e previsão</t>
        </is>
      </c>
      <c r="D40" s="16" t="inlineStr">
        <is>
          <t>T06, T07, T21, T22, T26, T27, T28, T29</t>
        </is>
      </c>
      <c r="E40" s="12" t="str"/>
      <c r="F40" s="12" t="inlineStr">
        <is>
          <t>Não iniciada</t>
        </is>
      </c>
      <c r="G40" s="16">
        <f>IF(F40="Bloqueada","Bloqueada",IF(AND(OR(F40="Concluída",F40="Reaproveitada"),Q40="Suficientes",R40="Liberadas"),"Concluída",IF(R40&lt;&gt;"Liberadas","Aguardando dependência",IF(OR(F40="Concluída",F40="Reaproveitada"),"Em validação",F40))))</f>
        <v/>
      </c>
      <c r="H40" s="16">
        <f>IF(G40="Concluída","",IF(Q40="ID inválido","Corrigir ID duplicado",IF(R40&lt;&gt;"Liberadas","Dependências sem conclusão comprovada",IF(F40="Bloqueada","Registrar bloqueio em observações",IF(NOT(OR(F40="Concluída",F40="Reaproveitada")),"Execução ainda não concluída",IF(E40="","Definir responsável",IF(I40="","Anexar evidências",IF(J40&lt;&gt;"Aceito","Aceite técnico pendente",IF(OR(K40="",NOT(ISNUMBER(L40)),L40&lt;=0),"Registrar validador e data técnicos","Aceite financeiro pendente")))))))))</f>
        <v/>
      </c>
      <c r="I40" s="12" t="str"/>
      <c r="J40" s="12" t="inlineStr">
        <is>
          <t>Pendente</t>
        </is>
      </c>
      <c r="K40" s="12" t="str"/>
      <c r="L40" s="28" t="n"/>
      <c r="M40" s="16" t="inlineStr">
        <is>
          <t>Sim</t>
        </is>
      </c>
      <c r="N40" s="12" t="inlineStr">
        <is>
          <t>Pendente</t>
        </is>
      </c>
      <c r="O40" s="12" t="str"/>
      <c r="P40" s="28" t="n"/>
      <c r="Q40" s="16">
        <f>IF(COUNTIFS($A$11:$A$55,A40)&lt;&gt;1,"ID inválido",IF(AND(OR(F40="Concluída",F40="Reaproveitada"),E40&lt;&gt;"",I40&lt;&gt;"",J40="Aceito",K40&lt;&gt;"",ISNUMBER(L40),L40&gt;0,OR(M40="Não",AND(M40="Sim",N40="Aceito",O40&lt;&gt;"",ISNUMBER(P40),P40&gt;0))),"Suficientes","Pendentes"))</f>
        <v/>
      </c>
      <c r="R40" s="16">
        <f>IF(SUM(COUNTIFS($A$11:$A$55,"T06",$Q$11:$Q$55,"Suficientes"),COUNTIFS($A$11:$A$55,"T02",$Q$11:$Q$55,"Suficientes"),COUNTIFS($A$11:$A$55,"T03",$Q$11:$Q$55,"Suficientes"),COUNTIFS($A$11:$A$55,"T01",$Q$11:$Q$55,"Suficientes"),COUNTIFS($A$11:$A$55,"T04",$Q$11:$Q$55,"Suficientes"),COUNTIFS($A$11:$A$55,"T07",$Q$11:$Q$55,"Suficientes"),COUNTIFS($A$11:$A$55,"T21",$Q$11:$Q$55,"Suficientes"),COUNTIFS($A$11:$A$55,"T16",$Q$11:$Q$55,"Suficientes"),COUNTIFS($A$11:$A$55,"T05",$Q$11:$Q$55,"Suficientes"),COUNTIFS($A$11:$A$55,"T08",$Q$11:$Q$55,"Suficientes"),COUNTIFS($A$11:$A$55,"T18",$Q$11:$Q$55,"Suficientes"),COUNTIFS($A$11:$A$55,"T22",$Q$11:$Q$55,"Suficientes"),COUNTIFS($A$11:$A$55,"T26",$Q$11:$Q$55,"Suficientes"),COUNTIFS($A$11:$A$55,"T20",$Q$11:$Q$55,"Suficientes"),COUNTIFS($A$11:$A$55,"T19",$Q$11:$Q$55,"Suficientes"),COUNTIFS($A$11:$A$55,"T09",$Q$11:$Q$55,"Suficientes"),COUNTIFS($A$11:$A$55,"T10",$Q$11:$Q$55,"Suficientes"),COUNTIFS($A$11:$A$55,"T24",$Q$11:$Q$55,"Suficientes"),COUNTIFS($A$11:$A$55,"T23",$Q$11:$Q$55,"Suficientes"),COUNTIFS($A$11:$A$55,"T25",$Q$11:$Q$55,"Suficientes"),COUNTIFS($A$11:$A$55,"T27",$Q$11:$Q$55,"Suficientes"),COUNTIFS($A$11:$A$55,"T28",$Q$11:$Q$55,"Suficientes"),COUNTIFS($A$11:$A$55,"T17",$Q$11:$Q$55,"Suficientes"),COUNTIFS($A$11:$A$55,"T15",$Q$11:$Q$55,"Suficientes"),COUNTIFS($A$11:$A$55,"T29",$Q$11:$Q$55,"Suficientes"))=25,"Liberadas","Pendentes")</f>
        <v/>
      </c>
      <c r="S40" s="12" t="str"/>
      <c r="T40" s="16" t="inlineStr">
        <is>
          <t>CT04, CT18, CT21, CT28</t>
        </is>
      </c>
    </row>
    <row r="41" ht="56" customHeight="1">
      <c r="A41" s="16" t="inlineStr">
        <is>
          <t>T31</t>
        </is>
      </c>
      <c r="B41" s="16" t="inlineStr">
        <is>
          <t>Preservar identidade e saldo dos recebíveis de clientes</t>
        </is>
      </c>
      <c r="C41" s="16" t="inlineStr">
        <is>
          <t>5 Recebíveis caixa e fechamento</t>
        </is>
      </c>
      <c r="D41" s="16" t="inlineStr">
        <is>
          <t>T04, T05, T06, T07, T08, T10, T16</t>
        </is>
      </c>
      <c r="E41" s="12" t="str"/>
      <c r="F41" s="12" t="inlineStr">
        <is>
          <t>Não iniciada</t>
        </is>
      </c>
      <c r="G41" s="16">
        <f>IF(F41="Bloqueada","Bloqueada",IF(AND(OR(F41="Concluída",F41="Reaproveitada"),Q41="Suficientes",R41="Liberadas"),"Concluída",IF(R41&lt;&gt;"Liberadas","Aguardando dependência",IF(OR(F41="Concluída",F41="Reaproveitada"),"Em validação",F41))))</f>
        <v/>
      </c>
      <c r="H41" s="16">
        <f>IF(G41="Concluída","",IF(Q41="ID inválido","Corrigir ID duplicado",IF(R41&lt;&gt;"Liberadas","Dependências sem conclusão comprovada",IF(F41="Bloqueada","Registrar bloqueio em observações",IF(NOT(OR(F41="Concluída",F41="Reaproveitada")),"Execução ainda não concluída",IF(E41="","Definir responsável",IF(I41="","Anexar evidências",IF(J41&lt;&gt;"Aceito","Aceite técnico pendente",IF(OR(K41="",NOT(ISNUMBER(L41)),L41&lt;=0),"Registrar validador e data técnicos","Aceite financeiro pendente")))))))))</f>
        <v/>
      </c>
      <c r="I41" s="12" t="str"/>
      <c r="J41" s="12" t="inlineStr">
        <is>
          <t>Pendente</t>
        </is>
      </c>
      <c r="K41" s="12" t="str"/>
      <c r="L41" s="28" t="n"/>
      <c r="M41" s="16" t="inlineStr">
        <is>
          <t>Sim</t>
        </is>
      </c>
      <c r="N41" s="12" t="inlineStr">
        <is>
          <t>Pendente</t>
        </is>
      </c>
      <c r="O41" s="12" t="str"/>
      <c r="P41" s="28" t="n"/>
      <c r="Q41" s="16">
        <f>IF(COUNTIFS($A$11:$A$55,A41)&lt;&gt;1,"ID inválido",IF(AND(OR(F41="Concluída",F41="Reaproveitada"),E41&lt;&gt;"",I41&lt;&gt;"",J41="Aceito",K41&lt;&gt;"",ISNUMBER(L41),L41&gt;0,OR(M41="Não",AND(M41="Sim",N41="Aceito",O41&lt;&gt;"",ISNUMBER(P41),P41&gt;0))),"Suficientes","Pendentes"))</f>
        <v/>
      </c>
      <c r="R41" s="16">
        <f>IF(SUM(COUNTIFS($A$11:$A$55,"T04",$Q$11:$Q$55,"Suficientes"),COUNTIFS($A$11:$A$55,"T01",$Q$11:$Q$55,"Suficientes"),COUNTIFS($A$11:$A$55,"T02",$Q$11:$Q$55,"Suficientes"),COUNTIFS($A$11:$A$55,"T05",$Q$11:$Q$55,"Suficientes"),COUNTIFS($A$11:$A$55,"T03",$Q$11:$Q$55,"Suficientes"),COUNTIFS($A$11:$A$55,"T06",$Q$11:$Q$55,"Suficientes"),COUNTIFS($A$11:$A$55,"T07",$Q$11:$Q$55,"Suficientes"),COUNTIFS($A$11:$A$55,"T08",$Q$11:$Q$55,"Suficientes"),COUNTIFS($A$11:$A$55,"T10",$Q$11:$Q$55,"Suficientes"),COUNTIFS($A$11:$A$55,"T09",$Q$11:$Q$55,"Suficientes"),COUNTIFS($A$11:$A$55,"T16",$Q$11:$Q$55,"Suficientes"))=11,"Liberadas","Pendentes")</f>
        <v/>
      </c>
      <c r="S41" s="12" t="str"/>
      <c r="T41" s="16" t="inlineStr">
        <is>
          <t>CT01, CT13, CT24</t>
        </is>
      </c>
    </row>
    <row r="42" ht="56" customHeight="1">
      <c r="A42" s="16" t="inlineStr">
        <is>
          <t>T32</t>
        </is>
      </c>
      <c r="B42" s="16" t="inlineStr">
        <is>
          <t>Liquidar recebimentos bancários líquidos e pagamentos parciais</t>
        </is>
      </c>
      <c r="C42" s="16" t="inlineStr">
        <is>
          <t>5 Recebíveis caixa e fechamento</t>
        </is>
      </c>
      <c r="D42" s="16" t="inlineStr">
        <is>
          <t>T18, T19, T31</t>
        </is>
      </c>
      <c r="E42" s="12" t="str"/>
      <c r="F42" s="12" t="inlineStr">
        <is>
          <t>Não iniciada</t>
        </is>
      </c>
      <c r="G42" s="16">
        <f>IF(F42="Bloqueada","Bloqueada",IF(AND(OR(F42="Concluída",F42="Reaproveitada"),Q42="Suficientes",R42="Liberadas"),"Concluída",IF(R42&lt;&gt;"Liberadas","Aguardando dependência",IF(OR(F42="Concluída",F42="Reaproveitada"),"Em validação",F42))))</f>
        <v/>
      </c>
      <c r="H42" s="16">
        <f>IF(G42="Concluída","",IF(Q42="ID inválido","Corrigir ID duplicado",IF(R42&lt;&gt;"Liberadas","Dependências sem conclusão comprovada",IF(F42="Bloqueada","Registrar bloqueio em observações",IF(NOT(OR(F42="Concluída",F42="Reaproveitada")),"Execução ainda não concluída",IF(E42="","Definir responsável",IF(I42="","Anexar evidências",IF(J42&lt;&gt;"Aceito","Aceite técnico pendente",IF(OR(K42="",NOT(ISNUMBER(L42)),L42&lt;=0),"Registrar validador e data técnicos","Aceite financeiro pendente")))))))))</f>
        <v/>
      </c>
      <c r="I42" s="12" t="str"/>
      <c r="J42" s="12" t="inlineStr">
        <is>
          <t>Pendente</t>
        </is>
      </c>
      <c r="K42" s="12" t="str"/>
      <c r="L42" s="28" t="n"/>
      <c r="M42" s="16" t="inlineStr">
        <is>
          <t>Sim</t>
        </is>
      </c>
      <c r="N42" s="12" t="inlineStr">
        <is>
          <t>Pendente</t>
        </is>
      </c>
      <c r="O42" s="12" t="str"/>
      <c r="P42" s="28" t="n"/>
      <c r="Q42" s="16">
        <f>IF(COUNTIFS($A$11:$A$55,A42)&lt;&gt;1,"ID inválido",IF(AND(OR(F42="Concluída",F42="Reaproveitada"),E42&lt;&gt;"",I42&lt;&gt;"",J42="Aceito",K42&lt;&gt;"",ISNUMBER(L42),L42&gt;0,OR(M42="Não",AND(M42="Sim",N42="Aceito",O42&lt;&gt;"",ISNUMBER(P42),P42&gt;0))),"Suficientes","Pendentes"))</f>
        <v/>
      </c>
      <c r="R42" s="16">
        <f>IF(SUM(COUNTIFS($A$11:$A$55,"T18",$Q$11:$Q$55,"Suficientes"),COUNTIFS($A$11:$A$55,"T06",$Q$11:$Q$55,"Suficientes"),COUNTIFS($A$11:$A$55,"T02",$Q$11:$Q$55,"Suficientes"),COUNTIFS($A$11:$A$55,"T03",$Q$11:$Q$55,"Suficientes"),COUNTIFS($A$11:$A$55,"T01",$Q$11:$Q$55,"Suficientes"),COUNTIFS($A$11:$A$55,"T04",$Q$11:$Q$55,"Suficientes"),COUNTIFS($A$11:$A$55,"T07",$Q$11:$Q$55,"Suficientes"),COUNTIFS($A$11:$A$55,"T08",$Q$11:$Q$55,"Suficientes"),COUNTIFS($A$11:$A$55,"T05",$Q$11:$Q$55,"Suficientes"),COUNTIFS($A$11:$A$55,"T16",$Q$11:$Q$55,"Suficientes"),COUNTIFS($A$11:$A$55,"T19",$Q$11:$Q$55,"Suficientes"),COUNTIFS($A$11:$A$55,"T09",$Q$11:$Q$55,"Suficientes"),COUNTIFS($A$11:$A$55,"T10",$Q$11:$Q$55,"Suficientes"),COUNTIFS($A$11:$A$55,"T31",$Q$11:$Q$55,"Suficientes"))=14,"Liberadas","Pendentes")</f>
        <v/>
      </c>
      <c r="S42" s="12" t="str"/>
      <c r="T42" s="16" t="inlineStr">
        <is>
          <t>CT03, CT13, CT14, CT23</t>
        </is>
      </c>
    </row>
    <row r="43" ht="56" customHeight="1">
      <c r="A43" s="16" t="inlineStr">
        <is>
          <t>T33</t>
        </is>
      </c>
      <c r="B43" s="16" t="inlineStr">
        <is>
          <t>Aplicar créditos e liquidações sem caixa nos recebíveis</t>
        </is>
      </c>
      <c r="C43" s="16" t="inlineStr">
        <is>
          <t>5 Recebíveis caixa e fechamento</t>
        </is>
      </c>
      <c r="D43" s="16" t="inlineStr">
        <is>
          <t>T16, T18, T20, T24, T31</t>
        </is>
      </c>
      <c r="E43" s="12" t="str"/>
      <c r="F43" s="12" t="inlineStr">
        <is>
          <t>Não iniciada</t>
        </is>
      </c>
      <c r="G43" s="16">
        <f>IF(F43="Bloqueada","Bloqueada",IF(AND(OR(F43="Concluída",F43="Reaproveitada"),Q43="Suficientes",R43="Liberadas"),"Concluída",IF(R43&lt;&gt;"Liberadas","Aguardando dependência",IF(OR(F43="Concluída",F43="Reaproveitada"),"Em validação",F43))))</f>
        <v/>
      </c>
      <c r="H43" s="16">
        <f>IF(G43="Concluída","",IF(Q43="ID inválido","Corrigir ID duplicado",IF(R43&lt;&gt;"Liberadas","Dependências sem conclusão comprovada",IF(F43="Bloqueada","Registrar bloqueio em observações",IF(NOT(OR(F43="Concluída",F43="Reaproveitada")),"Execução ainda não concluída",IF(E43="","Definir responsável",IF(I43="","Anexar evidências",IF(J43&lt;&gt;"Aceito","Aceite técnico pendente",IF(OR(K43="",NOT(ISNUMBER(L43)),L43&lt;=0),"Registrar validador e data técnicos","Aceite financeiro pendente")))))))))</f>
        <v/>
      </c>
      <c r="I43" s="12" t="str"/>
      <c r="J43" s="12" t="inlineStr">
        <is>
          <t>Pendente</t>
        </is>
      </c>
      <c r="K43" s="12" t="str"/>
      <c r="L43" s="28" t="n"/>
      <c r="M43" s="16" t="inlineStr">
        <is>
          <t>Sim</t>
        </is>
      </c>
      <c r="N43" s="12" t="inlineStr">
        <is>
          <t>Pendente</t>
        </is>
      </c>
      <c r="O43" s="12" t="str"/>
      <c r="P43" s="28" t="n"/>
      <c r="Q43" s="16">
        <f>IF(COUNTIFS($A$11:$A$55,A43)&lt;&gt;1,"ID inválido",IF(AND(OR(F43="Concluída",F43="Reaproveitada"),E43&lt;&gt;"",I43&lt;&gt;"",J43="Aceito",K43&lt;&gt;"",ISNUMBER(L43),L43&gt;0,OR(M43="Não",AND(M43="Sim",N43="Aceito",O43&lt;&gt;"",ISNUMBER(P43),P43&gt;0))),"Suficientes","Pendentes"))</f>
        <v/>
      </c>
      <c r="R43" s="16">
        <f>IF(SUM(COUNTIFS($A$11:$A$55,"T16",$Q$11:$Q$55,"Suficientes"),COUNTIFS($A$11:$A$55,"T04",$Q$11:$Q$55,"Suficientes"),COUNTIFS($A$11:$A$55,"T01",$Q$11:$Q$55,"Suficientes"),COUNTIFS($A$11:$A$55,"T02",$Q$11:$Q$55,"Suficientes"),COUNTIFS($A$11:$A$55,"T05",$Q$11:$Q$55,"Suficientes"),COUNTIFS($A$11:$A$55,"T03",$Q$11:$Q$55,"Suficientes"),COUNTIFS($A$11:$A$55,"T06",$Q$11:$Q$55,"Suficientes"),COUNTIFS($A$11:$A$55,"T08",$Q$11:$Q$55,"Suficientes"),COUNTIFS($A$11:$A$55,"T07",$Q$11:$Q$55,"Suficientes"),COUNTIFS($A$11:$A$55,"T18",$Q$11:$Q$55,"Suficientes"),COUNTIFS($A$11:$A$55,"T20",$Q$11:$Q$55,"Suficientes"),COUNTIFS($A$11:$A$55,"T19",$Q$11:$Q$55,"Suficientes"),COUNTIFS($A$11:$A$55,"T09",$Q$11:$Q$55,"Suficientes"),COUNTIFS($A$11:$A$55,"T10",$Q$11:$Q$55,"Suficientes"),COUNTIFS($A$11:$A$55,"T24",$Q$11:$Q$55,"Suficientes"),COUNTIFS($A$11:$A$55,"T22",$Q$11:$Q$55,"Suficientes"),COUNTIFS($A$11:$A$55,"T23",$Q$11:$Q$55,"Suficientes"),COUNTIFS($A$11:$A$55,"T31",$Q$11:$Q$55,"Suficientes"))=18,"Liberadas","Pendentes")</f>
        <v/>
      </c>
      <c r="S43" s="12" t="str"/>
      <c r="T43" s="16" t="inlineStr">
        <is>
          <t>CT10, CT14, CT21, CT22</t>
        </is>
      </c>
    </row>
    <row r="44" ht="56" customHeight="1">
      <c r="A44" s="16" t="inlineStr">
        <is>
          <t>T34</t>
        </is>
      </c>
      <c r="B44" s="16" t="inlineStr">
        <is>
          <t>Calcular recebíveis futuros e atraso por coorte</t>
        </is>
      </c>
      <c r="C44" s="16" t="inlineStr">
        <is>
          <t>5 Recebíveis caixa e fechamento</t>
        </is>
      </c>
      <c r="D44" s="16" t="inlineStr">
        <is>
          <t>T07, T20, T31, T32, T33</t>
        </is>
      </c>
      <c r="E44" s="12" t="str"/>
      <c r="F44" s="12" t="inlineStr">
        <is>
          <t>Não iniciada</t>
        </is>
      </c>
      <c r="G44" s="16">
        <f>IF(F44="Bloqueada","Bloqueada",IF(AND(OR(F44="Concluída",F44="Reaproveitada"),Q44="Suficientes",R44="Liberadas"),"Concluída",IF(R44&lt;&gt;"Liberadas","Aguardando dependência",IF(OR(F44="Concluída",F44="Reaproveitada"),"Em validação",F44))))</f>
        <v/>
      </c>
      <c r="H44" s="16">
        <f>IF(G44="Concluída","",IF(Q44="ID inválido","Corrigir ID duplicado",IF(R44&lt;&gt;"Liberadas","Dependências sem conclusão comprovada",IF(F44="Bloqueada","Registrar bloqueio em observações",IF(NOT(OR(F44="Concluída",F44="Reaproveitada")),"Execução ainda não concluída",IF(E44="","Definir responsável",IF(I44="","Anexar evidências",IF(J44&lt;&gt;"Aceito","Aceite técnico pendente",IF(OR(K44="",NOT(ISNUMBER(L44)),L44&lt;=0),"Registrar validador e data técnicos","Aceite financeiro pendente")))))))))</f>
        <v/>
      </c>
      <c r="I44" s="12" t="str"/>
      <c r="J44" s="12" t="inlineStr">
        <is>
          <t>Pendente</t>
        </is>
      </c>
      <c r="K44" s="12" t="str"/>
      <c r="L44" s="28" t="n"/>
      <c r="M44" s="16" t="inlineStr">
        <is>
          <t>Sim</t>
        </is>
      </c>
      <c r="N44" s="12" t="inlineStr">
        <is>
          <t>Pendente</t>
        </is>
      </c>
      <c r="O44" s="12" t="str"/>
      <c r="P44" s="28" t="n"/>
      <c r="Q44" s="16">
        <f>IF(COUNTIFS($A$11:$A$55,A44)&lt;&gt;1,"ID inválido",IF(AND(OR(F44="Concluída",F44="Reaproveitada"),E44&lt;&gt;"",I44&lt;&gt;"",J44="Aceito",K44&lt;&gt;"",ISNUMBER(L44),L44&gt;0,OR(M44="Não",AND(M44="Sim",N44="Aceito",O44&lt;&gt;"",ISNUMBER(P44),P44&gt;0))),"Suficientes","Pendentes"))</f>
        <v/>
      </c>
      <c r="R44" s="16">
        <f>IF(SUM(COUNTIFS($A$11:$A$55,"T07",$Q$11:$Q$55,"Suficientes"),COUNTIFS($A$11:$A$55,"T02",$Q$11:$Q$55,"Suficientes"),COUNTIFS($A$11:$A$55,"T03",$Q$11:$Q$55,"Suficientes"),COUNTIFS($A$11:$A$55,"T01",$Q$11:$Q$55,"Suficientes"),COUNTIFS($A$11:$A$55,"T04",$Q$11:$Q$55,"Suficientes"),COUNTIFS($A$11:$A$55,"T20",$Q$11:$Q$55,"Suficientes"),COUNTIFS($A$11:$A$55,"T16",$Q$11:$Q$55,"Suficientes"),COUNTIFS($A$11:$A$55,"T05",$Q$11:$Q$55,"Suficientes"),COUNTIFS($A$11:$A$55,"T06",$Q$11:$Q$55,"Suficientes"),COUNTIFS($A$11:$A$55,"T08",$Q$11:$Q$55,"Suficientes"),COUNTIFS($A$11:$A$55,"T18",$Q$11:$Q$55,"Suficientes"),COUNTIFS($A$11:$A$55,"T19",$Q$11:$Q$55,"Suficientes"),COUNTIFS($A$11:$A$55,"T09",$Q$11:$Q$55,"Suficientes"),COUNTIFS($A$11:$A$55,"T10",$Q$11:$Q$55,"Suficientes"),COUNTIFS($A$11:$A$55,"T31",$Q$11:$Q$55,"Suficientes"),COUNTIFS($A$11:$A$55,"T32",$Q$11:$Q$55,"Suficientes"),COUNTIFS($A$11:$A$55,"T33",$Q$11:$Q$55,"Suficientes"),COUNTIFS($A$11:$A$55,"T24",$Q$11:$Q$55,"Suficientes"),COUNTIFS($A$11:$A$55,"T22",$Q$11:$Q$55,"Suficientes"),COUNTIFS($A$11:$A$55,"T23",$Q$11:$Q$55,"Suficientes"))=20,"Liberadas","Pendentes")</f>
        <v/>
      </c>
      <c r="S44" s="12" t="str"/>
      <c r="T44" s="16" t="inlineStr">
        <is>
          <t>CT13, CT17, CT22</t>
        </is>
      </c>
    </row>
    <row r="45" ht="56" customHeight="1">
      <c r="A45" s="16" t="inlineStr">
        <is>
          <t>T35</t>
        </is>
      </c>
      <c r="B45" s="16" t="inlineStr">
        <is>
          <t>Conciliar transferências entre contas do mesmo titular</t>
        </is>
      </c>
      <c r="C45" s="16" t="inlineStr">
        <is>
          <t>5 Recebíveis caixa e fechamento</t>
        </is>
      </c>
      <c r="D45" s="16" t="inlineStr">
        <is>
          <t>T04, T16, T19</t>
        </is>
      </c>
      <c r="E45" s="12" t="str"/>
      <c r="F45" s="12" t="inlineStr">
        <is>
          <t>Não iniciada</t>
        </is>
      </c>
      <c r="G45" s="16">
        <f>IF(F45="Bloqueada","Bloqueada",IF(AND(OR(F45="Concluída",F45="Reaproveitada"),Q45="Suficientes",R45="Liberadas"),"Concluída",IF(R45&lt;&gt;"Liberadas","Aguardando dependência",IF(OR(F45="Concluída",F45="Reaproveitada"),"Em validação",F45))))</f>
        <v/>
      </c>
      <c r="H45" s="16">
        <f>IF(G45="Concluída","",IF(Q45="ID inválido","Corrigir ID duplicado",IF(R45&lt;&gt;"Liberadas","Dependências sem conclusão comprovada",IF(F45="Bloqueada","Registrar bloqueio em observações",IF(NOT(OR(F45="Concluída",F45="Reaproveitada")),"Execução ainda não concluída",IF(E45="","Definir responsável",IF(I45="","Anexar evidências",IF(J45&lt;&gt;"Aceito","Aceite técnico pendente",IF(OR(K45="",NOT(ISNUMBER(L45)),L45&lt;=0),"Registrar validador e data técnicos","Aceite financeiro pendente")))))))))</f>
        <v/>
      </c>
      <c r="I45" s="12" t="str"/>
      <c r="J45" s="12" t="inlineStr">
        <is>
          <t>Pendente</t>
        </is>
      </c>
      <c r="K45" s="12" t="str"/>
      <c r="L45" s="28" t="n"/>
      <c r="M45" s="16" t="inlineStr">
        <is>
          <t>Sim</t>
        </is>
      </c>
      <c r="N45" s="12" t="inlineStr">
        <is>
          <t>Pendente</t>
        </is>
      </c>
      <c r="O45" s="12" t="str"/>
      <c r="P45" s="28" t="n"/>
      <c r="Q45" s="16">
        <f>IF(COUNTIFS($A$11:$A$55,A45)&lt;&gt;1,"ID inválido",IF(AND(OR(F45="Concluída",F45="Reaproveitada"),E45&lt;&gt;"",I45&lt;&gt;"",J45="Aceito",K45&lt;&gt;"",ISNUMBER(L45),L45&gt;0,OR(M45="Não",AND(M45="Sim",N45="Aceito",O45&lt;&gt;"",ISNUMBER(P45),P45&gt;0))),"Suficientes","Pendentes"))</f>
        <v/>
      </c>
      <c r="R45" s="16">
        <f>IF(SUM(COUNTIFS($A$11:$A$55,"T04",$Q$11:$Q$55,"Suficientes"),COUNTIFS($A$11:$A$55,"T01",$Q$11:$Q$55,"Suficientes"),COUNTIFS($A$11:$A$55,"T02",$Q$11:$Q$55,"Suficientes"),COUNTIFS($A$11:$A$55,"T16",$Q$11:$Q$55,"Suficientes"),COUNTIFS($A$11:$A$55,"T05",$Q$11:$Q$55,"Suficientes"),COUNTIFS($A$11:$A$55,"T03",$Q$11:$Q$55,"Suficientes"),COUNTIFS($A$11:$A$55,"T06",$Q$11:$Q$55,"Suficientes"),COUNTIFS($A$11:$A$55,"T08",$Q$11:$Q$55,"Suficientes"),COUNTIFS($A$11:$A$55,"T07",$Q$11:$Q$55,"Suficientes"),COUNTIFS($A$11:$A$55,"T19",$Q$11:$Q$55,"Suficientes"),COUNTIFS($A$11:$A$55,"T09",$Q$11:$Q$55,"Suficientes"),COUNTIFS($A$11:$A$55,"T10",$Q$11:$Q$55,"Suficientes"),COUNTIFS($A$11:$A$55,"T18",$Q$11:$Q$55,"Suficientes"))=13,"Liberadas","Pendentes")</f>
        <v/>
      </c>
      <c r="S45" s="12" t="str"/>
      <c r="T45" s="16" t="inlineStr">
        <is>
          <t>CT15</t>
        </is>
      </c>
    </row>
    <row r="46" ht="56" customHeight="1">
      <c r="A46" s="16" t="inlineStr">
        <is>
          <t>T36</t>
        </is>
      </c>
      <c r="B46" s="16" t="inlineStr">
        <is>
          <t>Distinguir operações entre entidades e reapropriações</t>
        </is>
      </c>
      <c r="C46" s="16" t="inlineStr">
        <is>
          <t>5 Recebíveis caixa e fechamento</t>
        </is>
      </c>
      <c r="D46" s="16" t="inlineStr">
        <is>
          <t>T05, T16, T17, T35</t>
        </is>
      </c>
      <c r="E46" s="12" t="str"/>
      <c r="F46" s="12" t="inlineStr">
        <is>
          <t>Não iniciada</t>
        </is>
      </c>
      <c r="G46" s="16">
        <f>IF(F46="Bloqueada","Bloqueada",IF(AND(OR(F46="Concluída",F46="Reaproveitada"),Q46="Suficientes",R46="Liberadas"),"Concluída",IF(R46&lt;&gt;"Liberadas","Aguardando dependência",IF(OR(F46="Concluída",F46="Reaproveitada"),"Em validação",F46))))</f>
        <v/>
      </c>
      <c r="H46" s="16">
        <f>IF(G46="Concluída","",IF(Q46="ID inválido","Corrigir ID duplicado",IF(R46&lt;&gt;"Liberadas","Dependências sem conclusão comprovada",IF(F46="Bloqueada","Registrar bloqueio em observações",IF(NOT(OR(F46="Concluída",F46="Reaproveitada")),"Execução ainda não concluída",IF(E46="","Definir responsável",IF(I46="","Anexar evidências",IF(J46&lt;&gt;"Aceito","Aceite técnico pendente",IF(OR(K46="",NOT(ISNUMBER(L46)),L46&lt;=0),"Registrar validador e data técnicos","Aceite financeiro pendente")))))))))</f>
        <v/>
      </c>
      <c r="I46" s="12" t="str"/>
      <c r="J46" s="12" t="inlineStr">
        <is>
          <t>Pendente</t>
        </is>
      </c>
      <c r="K46" s="12" t="str"/>
      <c r="L46" s="28" t="n"/>
      <c r="M46" s="16" t="inlineStr">
        <is>
          <t>Sim</t>
        </is>
      </c>
      <c r="N46" s="12" t="inlineStr">
        <is>
          <t>Pendente</t>
        </is>
      </c>
      <c r="O46" s="12" t="str"/>
      <c r="P46" s="28" t="n"/>
      <c r="Q46" s="16">
        <f>IF(COUNTIFS($A$11:$A$55,A46)&lt;&gt;1,"ID inválido",IF(AND(OR(F46="Concluída",F46="Reaproveitada"),E46&lt;&gt;"",I46&lt;&gt;"",J46="Aceito",K46&lt;&gt;"",ISNUMBER(L46),L46&gt;0,OR(M46="Não",AND(M46="Sim",N46="Aceito",O46&lt;&gt;"",ISNUMBER(P46),P46&gt;0))),"Suficientes","Pendentes"))</f>
        <v/>
      </c>
      <c r="R46" s="16">
        <f>IF(SUM(COUNTIFS($A$11:$A$55,"T05",$Q$11:$Q$55,"Suficientes"),COUNTIFS($A$11:$A$55,"T03",$Q$11:$Q$55,"Suficientes"),COUNTIFS($A$11:$A$55,"T01",$Q$11:$Q$55,"Suficientes"),COUNTIFS($A$11:$A$55,"T02",$Q$11:$Q$55,"Suficientes"),COUNTIFS($A$11:$A$55,"T04",$Q$11:$Q$55,"Suficientes"),COUNTIFS($A$11:$A$55,"T16",$Q$11:$Q$55,"Suficientes"),COUNTIFS($A$11:$A$55,"T06",$Q$11:$Q$55,"Suficientes"),COUNTIFS($A$11:$A$55,"T08",$Q$11:$Q$55,"Suficientes"),COUNTIFS($A$11:$A$55,"T07",$Q$11:$Q$55,"Suficientes"),COUNTIFS($A$11:$A$55,"T17",$Q$11:$Q$55,"Suficientes"),COUNTIFS($A$11:$A$55,"T15",$Q$11:$Q$55,"Suficientes"),COUNTIFS($A$11:$A$55,"T09",$Q$11:$Q$55,"Suficientes"),COUNTIFS($A$11:$A$55,"T35",$Q$11:$Q$55,"Suficientes"),COUNTIFS($A$11:$A$55,"T19",$Q$11:$Q$55,"Suficientes"),COUNTIFS($A$11:$A$55,"T10",$Q$11:$Q$55,"Suficientes"),COUNTIFS($A$11:$A$55,"T18",$Q$11:$Q$55,"Suficientes"))=16,"Liberadas","Pendentes")</f>
        <v/>
      </c>
      <c r="S46" s="12" t="str"/>
      <c r="T46" s="16" t="inlineStr">
        <is>
          <t>CT16, CT24</t>
        </is>
      </c>
    </row>
    <row r="47" ht="56" customHeight="1">
      <c r="A47" s="16" t="inlineStr">
        <is>
          <t>T37</t>
        </is>
      </c>
      <c r="B47" s="16" t="inlineStr">
        <is>
          <t>Proteger o período fechado e executar retificações rastreáveis</t>
        </is>
      </c>
      <c r="C47" s="16" t="inlineStr">
        <is>
          <t>5 Recebíveis caixa e fechamento</t>
        </is>
      </c>
      <c r="D47" s="16" t="inlineStr">
        <is>
          <t>T02, T07, T08, T17, T22, T24</t>
        </is>
      </c>
      <c r="E47" s="12" t="str"/>
      <c r="F47" s="12" t="inlineStr">
        <is>
          <t>Não iniciada</t>
        </is>
      </c>
      <c r="G47" s="16">
        <f>IF(F47="Bloqueada","Bloqueada",IF(AND(OR(F47="Concluída",F47="Reaproveitada"),Q47="Suficientes",R47="Liberadas"),"Concluída",IF(R47&lt;&gt;"Liberadas","Aguardando dependência",IF(OR(F47="Concluída",F47="Reaproveitada"),"Em validação",F47))))</f>
        <v/>
      </c>
      <c r="H47" s="16">
        <f>IF(G47="Concluída","",IF(Q47="ID inválido","Corrigir ID duplicado",IF(R47&lt;&gt;"Liberadas","Dependências sem conclusão comprovada",IF(F47="Bloqueada","Registrar bloqueio em observações",IF(NOT(OR(F47="Concluída",F47="Reaproveitada")),"Execução ainda não concluída",IF(E47="","Definir responsável",IF(I47="","Anexar evidências",IF(J47&lt;&gt;"Aceito","Aceite técnico pendente",IF(OR(K47="",NOT(ISNUMBER(L47)),L47&lt;=0),"Registrar validador e data técnicos","Aceite financeiro pendente")))))))))</f>
        <v/>
      </c>
      <c r="I47" s="12" t="str"/>
      <c r="J47" s="12" t="inlineStr">
        <is>
          <t>Pendente</t>
        </is>
      </c>
      <c r="K47" s="12" t="str"/>
      <c r="L47" s="28" t="n"/>
      <c r="M47" s="16" t="inlineStr">
        <is>
          <t>Sim</t>
        </is>
      </c>
      <c r="N47" s="12" t="inlineStr">
        <is>
          <t>Pendente</t>
        </is>
      </c>
      <c r="O47" s="12" t="str"/>
      <c r="P47" s="28" t="n"/>
      <c r="Q47" s="16">
        <f>IF(COUNTIFS($A$11:$A$55,A47)&lt;&gt;1,"ID inválido",IF(AND(OR(F47="Concluída",F47="Reaproveitada"),E47&lt;&gt;"",I47&lt;&gt;"",J47="Aceito",K47&lt;&gt;"",ISNUMBER(L47),L47&gt;0,OR(M47="Não",AND(M47="Sim",N47="Aceito",O47&lt;&gt;"",ISNUMBER(P47),P47&gt;0))),"Suficientes","Pendentes"))</f>
        <v/>
      </c>
      <c r="R47" s="16">
        <f>IF(SUM(COUNTIFS($A$11:$A$55,"T02",$Q$11:$Q$55,"Suficientes"),COUNTIFS($A$11:$A$55,"T07",$Q$11:$Q$55,"Suficientes"),COUNTIFS($A$11:$A$55,"T03",$Q$11:$Q$55,"Suficientes"),COUNTIFS($A$11:$A$55,"T01",$Q$11:$Q$55,"Suficientes"),COUNTIFS($A$11:$A$55,"T04",$Q$11:$Q$55,"Suficientes"),COUNTIFS($A$11:$A$55,"T08",$Q$11:$Q$55,"Suficientes"),COUNTIFS($A$11:$A$55,"T05",$Q$11:$Q$55,"Suficientes"),COUNTIFS($A$11:$A$55,"T06",$Q$11:$Q$55,"Suficientes"),COUNTIFS($A$11:$A$55,"T17",$Q$11:$Q$55,"Suficientes"),COUNTIFS($A$11:$A$55,"T15",$Q$11:$Q$55,"Suficientes"),COUNTIFS($A$11:$A$55,"T09",$Q$11:$Q$55,"Suficientes"),COUNTIFS($A$11:$A$55,"T16",$Q$11:$Q$55,"Suficientes"),COUNTIFS($A$11:$A$55,"T22",$Q$11:$Q$55,"Suficientes"),COUNTIFS($A$11:$A$55,"T24",$Q$11:$Q$55,"Suficientes"),COUNTIFS($A$11:$A$55,"T23",$Q$11:$Q$55,"Suficientes"),COUNTIFS($A$11:$A$55,"T18",$Q$11:$Q$55,"Suficientes"),COUNTIFS($A$11:$A$55,"T19",$Q$11:$Q$55,"Suficientes"),COUNTIFS($A$11:$A$55,"T10",$Q$11:$Q$55,"Suficientes"))=18,"Liberadas","Pendentes")</f>
        <v/>
      </c>
      <c r="S47" s="12" t="str"/>
      <c r="T47" s="16" t="inlineStr">
        <is>
          <t>CT02, CT20</t>
        </is>
      </c>
    </row>
    <row r="48" ht="56" customHeight="1">
      <c r="A48" s="16" t="inlineStr">
        <is>
          <t>T38</t>
        </is>
      </c>
      <c r="B48" s="16" t="inlineStr">
        <is>
          <t>Publicar qualidade e impedimentos por indicador</t>
        </is>
      </c>
      <c r="C48" s="16" t="inlineStr">
        <is>
          <t>5 Recebíveis caixa e fechamento</t>
        </is>
      </c>
      <c r="D48" s="16" t="inlineStr">
        <is>
          <t>T11, T15, T19, T26, T27, T28, T34, T37</t>
        </is>
      </c>
      <c r="E48" s="12" t="str"/>
      <c r="F48" s="12" t="inlineStr">
        <is>
          <t>Não iniciada</t>
        </is>
      </c>
      <c r="G48" s="16">
        <f>IF(F48="Bloqueada","Bloqueada",IF(AND(OR(F48="Concluída",F48="Reaproveitada"),Q48="Suficientes",R48="Liberadas"),"Concluída",IF(R48&lt;&gt;"Liberadas","Aguardando dependência",IF(OR(F48="Concluída",F48="Reaproveitada"),"Em validação",F48))))</f>
        <v/>
      </c>
      <c r="H48" s="16">
        <f>IF(G48="Concluída","",IF(Q48="ID inválido","Corrigir ID duplicado",IF(R48&lt;&gt;"Liberadas","Dependências sem conclusão comprovada",IF(F48="Bloqueada","Registrar bloqueio em observações",IF(NOT(OR(F48="Concluída",F48="Reaproveitada")),"Execução ainda não concluída",IF(E48="","Definir responsável",IF(I48="","Anexar evidências",IF(J48&lt;&gt;"Aceito","Aceite técnico pendente",IF(OR(K48="",NOT(ISNUMBER(L48)),L48&lt;=0),"Registrar validador e data técnicos","Aceite financeiro pendente")))))))))</f>
        <v/>
      </c>
      <c r="I48" s="12" t="str"/>
      <c r="J48" s="12" t="inlineStr">
        <is>
          <t>Pendente</t>
        </is>
      </c>
      <c r="K48" s="12" t="str"/>
      <c r="L48" s="28" t="n"/>
      <c r="M48" s="16" t="inlineStr">
        <is>
          <t>Sim</t>
        </is>
      </c>
      <c r="N48" s="12" t="inlineStr">
        <is>
          <t>Pendente</t>
        </is>
      </c>
      <c r="O48" s="12" t="str"/>
      <c r="P48" s="28" t="n"/>
      <c r="Q48" s="16">
        <f>IF(COUNTIFS($A$11:$A$55,A48)&lt;&gt;1,"ID inválido",IF(AND(OR(F48="Concluída",F48="Reaproveitada"),E48&lt;&gt;"",I48&lt;&gt;"",J48="Aceito",K48&lt;&gt;"",ISNUMBER(L48),L48&gt;0,OR(M48="Não",AND(M48="Sim",N48="Aceito",O48&lt;&gt;"",ISNUMBER(P48),P48&gt;0))),"Suficientes","Pendentes"))</f>
        <v/>
      </c>
      <c r="R48" s="16">
        <f>IF(SUM(COUNTIFS($A$11:$A$55,"T11",$Q$11:$Q$55,"Suficientes"),COUNTIFS($A$11:$A$55,"T06",$Q$11:$Q$55,"Suficientes"),COUNTIFS($A$11:$A$55,"T02",$Q$11:$Q$55,"Suficientes"),COUNTIFS($A$11:$A$55,"T03",$Q$11:$Q$55,"Suficientes"),COUNTIFS($A$11:$A$55,"T01",$Q$11:$Q$55,"Suficientes"),COUNTIFS($A$11:$A$55,"T04",$Q$11:$Q$55,"Suficientes"),COUNTIFS($A$11:$A$55,"T09",$Q$11:$Q$55,"Suficientes"),COUNTIFS($A$11:$A$55,"T05",$Q$11:$Q$55,"Suficientes"),COUNTIFS($A$11:$A$55,"T07",$Q$11:$Q$55,"Suficientes"),COUNTIFS($A$11:$A$55,"T10",$Q$11:$Q$55,"Suficientes"),COUNTIFS($A$11:$A$55,"T08",$Q$11:$Q$55,"Suficientes"),COUNTIFS($A$11:$A$55,"T15",$Q$11:$Q$55,"Suficientes"),COUNTIFS($A$11:$A$55,"T19",$Q$11:$Q$55,"Suficientes"),COUNTIFS($A$11:$A$55,"T16",$Q$11:$Q$55,"Suficientes"),COUNTIFS($A$11:$A$55,"T18",$Q$11:$Q$55,"Suficientes"),COUNTIFS($A$11:$A$55,"T26",$Q$11:$Q$55,"Suficientes"),COUNTIFS($A$11:$A$55,"T20",$Q$11:$Q$55,"Suficientes"),COUNTIFS($A$11:$A$55,"T21",$Q$11:$Q$55,"Suficientes"),COUNTIFS($A$11:$A$55,"T24",$Q$11:$Q$55,"Suficientes"),COUNTIFS($A$11:$A$55,"T22",$Q$11:$Q$55,"Suficientes"),COUNTIFS($A$11:$A$55,"T23",$Q$11:$Q$55,"Suficientes"),COUNTIFS($A$11:$A$55,"T25",$Q$11:$Q$55,"Suficientes"),COUNTIFS($A$11:$A$55,"T27",$Q$11:$Q$55,"Suficientes"),COUNTIFS($A$11:$A$55,"T28",$Q$11:$Q$55,"Suficientes"),COUNTIFS($A$11:$A$55,"T17",$Q$11:$Q$55,"Suficientes"),COUNTIFS($A$11:$A$55,"T34",$Q$11:$Q$55,"Suficientes"),COUNTIFS($A$11:$A$55,"T31",$Q$11:$Q$55,"Suficientes"),COUNTIFS($A$11:$A$55,"T32",$Q$11:$Q$55,"Suficientes"),COUNTIFS($A$11:$A$55,"T33",$Q$11:$Q$55,"Suficientes"),COUNTIFS($A$11:$A$55,"T37",$Q$11:$Q$55,"Suficientes"))=30,"Liberadas","Pendentes")</f>
        <v/>
      </c>
      <c r="S48" s="12" t="str"/>
      <c r="T48" s="16" t="inlineStr">
        <is>
          <t>CT12, CT21, CT26</t>
        </is>
      </c>
    </row>
    <row r="49" ht="56" customHeight="1">
      <c r="A49" s="16" t="inlineStr">
        <is>
          <t>T39</t>
        </is>
      </c>
      <c r="B49" s="16" t="inlineStr">
        <is>
          <t>Calcular saldo e necessidade de recursos sem duplicar financiamento</t>
        </is>
      </c>
      <c r="C49" s="16" t="inlineStr">
        <is>
          <t>5 Recebíveis caixa e fechamento</t>
        </is>
      </c>
      <c r="D49" s="16" t="inlineStr">
        <is>
          <t>T19, T29, T30, T34, T35, T36, T38</t>
        </is>
      </c>
      <c r="E49" s="12" t="str"/>
      <c r="F49" s="12" t="inlineStr">
        <is>
          <t>Não iniciada</t>
        </is>
      </c>
      <c r="G49" s="16">
        <f>IF(F49="Bloqueada","Bloqueada",IF(AND(OR(F49="Concluída",F49="Reaproveitada"),Q49="Suficientes",R49="Liberadas"),"Concluída",IF(R49&lt;&gt;"Liberadas","Aguardando dependência",IF(OR(F49="Concluída",F49="Reaproveitada"),"Em validação",F49))))</f>
        <v/>
      </c>
      <c r="H49" s="16">
        <f>IF(G49="Concluída","",IF(Q49="ID inválido","Corrigir ID duplicado",IF(R49&lt;&gt;"Liberadas","Dependências sem conclusão comprovada",IF(F49="Bloqueada","Registrar bloqueio em observações",IF(NOT(OR(F49="Concluída",F49="Reaproveitada")),"Execução ainda não concluída",IF(E49="","Definir responsável",IF(I49="","Anexar evidências",IF(J49&lt;&gt;"Aceito","Aceite técnico pendente",IF(OR(K49="",NOT(ISNUMBER(L49)),L49&lt;=0),"Registrar validador e data técnicos","Aceite financeiro pendente")))))))))</f>
        <v/>
      </c>
      <c r="I49" s="12" t="str"/>
      <c r="J49" s="12" t="inlineStr">
        <is>
          <t>Pendente</t>
        </is>
      </c>
      <c r="K49" s="12" t="str"/>
      <c r="L49" s="28" t="n"/>
      <c r="M49" s="16" t="inlineStr">
        <is>
          <t>Sim</t>
        </is>
      </c>
      <c r="N49" s="12" t="inlineStr">
        <is>
          <t>Pendente</t>
        </is>
      </c>
      <c r="O49" s="12" t="str"/>
      <c r="P49" s="28" t="n"/>
      <c r="Q49" s="16">
        <f>IF(COUNTIFS($A$11:$A$55,A49)&lt;&gt;1,"ID inválido",IF(AND(OR(F49="Concluída",F49="Reaproveitada"),E49&lt;&gt;"",I49&lt;&gt;"",J49="Aceito",K49&lt;&gt;"",ISNUMBER(L49),L49&gt;0,OR(M49="Não",AND(M49="Sim",N49="Aceito",O49&lt;&gt;"",ISNUMBER(P49),P49&gt;0))),"Suficientes","Pendentes"))</f>
        <v/>
      </c>
      <c r="R49" s="16">
        <f>IF(SUM(COUNTIFS($A$11:$A$55,"T19",$Q$11:$Q$55,"Suficientes"),COUNTIFS($A$11:$A$55,"T05",$Q$11:$Q$55,"Suficientes"),COUNTIFS($A$11:$A$55,"T03",$Q$11:$Q$55,"Suficientes"),COUNTIFS($A$11:$A$55,"T01",$Q$11:$Q$55,"Suficientes"),COUNTIFS($A$11:$A$55,"T02",$Q$11:$Q$55,"Suficientes"),COUNTIFS($A$11:$A$55,"T04",$Q$11:$Q$55,"Suficientes"),COUNTIFS($A$11:$A$55,"T07",$Q$11:$Q$55,"Suficientes"),COUNTIFS($A$11:$A$55,"T09",$Q$11:$Q$55,"Suficientes"),COUNTIFS($A$11:$A$55,"T10",$Q$11:$Q$55,"Suficientes"),COUNTIFS($A$11:$A$55,"T08",$Q$11:$Q$55,"Suficientes"),COUNTIFS($A$11:$A$55,"T06",$Q$11:$Q$55,"Suficientes"),COUNTIFS($A$11:$A$55,"T16",$Q$11:$Q$55,"Suficientes"),COUNTIFS($A$11:$A$55,"T18",$Q$11:$Q$55,"Suficientes"),COUNTIFS($A$11:$A$55,"T29",$Q$11:$Q$55,"Suficientes"),COUNTIFS($A$11:$A$55,"T25",$Q$11:$Q$55,"Suficientes"),COUNTIFS($A$11:$A$55,"T28",$Q$11:$Q$55,"Suficientes"),COUNTIFS($A$11:$A$55,"T17",$Q$11:$Q$55,"Suficientes"),COUNTIFS($A$11:$A$55,"T15",$Q$11:$Q$55,"Suficientes"),COUNTIFS($A$11:$A$55,"T22",$Q$11:$Q$55,"Suficientes"),COUNTIFS($A$11:$A$55,"T26",$Q$11:$Q$55,"Suficientes"),COUNTIFS($A$11:$A$55,"T20",$Q$11:$Q$55,"Suficientes"),COUNTIFS($A$11:$A$55,"T21",$Q$11:$Q$55,"Suficientes"),COUNTIFS($A$11:$A$55,"T24",$Q$11:$Q$55,"Suficientes"),COUNTIFS($A$11:$A$55,"T23",$Q$11:$Q$55,"Suficientes"),COUNTIFS($A$11:$A$55,"T30",$Q$11:$Q$55,"Suficientes"),COUNTIFS($A$11:$A$55,"T27",$Q$11:$Q$55,"Suficientes"),COUNTIFS($A$11:$A$55,"T34",$Q$11:$Q$55,"Suficientes"),COUNTIFS($A$11:$A$55,"T31",$Q$11:$Q$55,"Suficientes"),COUNTIFS($A$11:$A$55,"T32",$Q$11:$Q$55,"Suficientes"),COUNTIFS($A$11:$A$55,"T33",$Q$11:$Q$55,"Suficientes"),COUNTIFS($A$11:$A$55,"T35",$Q$11:$Q$55,"Suficientes"),COUNTIFS($A$11:$A$55,"T36",$Q$11:$Q$55,"Suficientes"),COUNTIFS($A$11:$A$55,"T38",$Q$11:$Q$55,"Suficientes"),COUNTIFS($A$11:$A$55,"T11",$Q$11:$Q$55,"Suficientes"),COUNTIFS($A$11:$A$55,"T37",$Q$11:$Q$55,"Suficientes"))=35,"Liberadas","Pendentes")</f>
        <v/>
      </c>
      <c r="S49" s="12" t="str"/>
      <c r="T49" s="16" t="inlineStr">
        <is>
          <t>CT17, CT29</t>
        </is>
      </c>
    </row>
    <row r="50" ht="56" customHeight="1">
      <c r="A50" s="16" t="inlineStr">
        <is>
          <t>T40</t>
        </is>
      </c>
      <c r="B50" s="16" t="inlineStr">
        <is>
          <t>Ligar painéis relatórios e exportações ao mesmo cálculo</t>
        </is>
      </c>
      <c r="C50" s="16" t="inlineStr">
        <is>
          <t>6 Canais e implantação</t>
        </is>
      </c>
      <c r="D50" s="16" t="inlineStr">
        <is>
          <t>T30, T34, T38, T39</t>
        </is>
      </c>
      <c r="E50" s="12" t="str"/>
      <c r="F50" s="12" t="inlineStr">
        <is>
          <t>Não iniciada</t>
        </is>
      </c>
      <c r="G50" s="16">
        <f>IF(F50="Bloqueada","Bloqueada",IF(AND(OR(F50="Concluída",F50="Reaproveitada"),Q50="Suficientes",R50="Liberadas"),"Concluída",IF(R50&lt;&gt;"Liberadas","Aguardando dependência",IF(OR(F50="Concluída",F50="Reaproveitada"),"Em validação",F50))))</f>
        <v/>
      </c>
      <c r="H50" s="16">
        <f>IF(G50="Concluída","",IF(Q50="ID inválido","Corrigir ID duplicado",IF(R50&lt;&gt;"Liberadas","Dependências sem conclusão comprovada",IF(F50="Bloqueada","Registrar bloqueio em observações",IF(NOT(OR(F50="Concluída",F50="Reaproveitada")),"Execução ainda não concluída",IF(E50="","Definir responsável",IF(I50="","Anexar evidências",IF(J50&lt;&gt;"Aceito","Aceite técnico pendente",IF(OR(K50="",NOT(ISNUMBER(L50)),L50&lt;=0),"Registrar validador e data técnicos","Aceite financeiro pendente")))))))))</f>
        <v/>
      </c>
      <c r="I50" s="12" t="str"/>
      <c r="J50" s="12" t="inlineStr">
        <is>
          <t>Pendente</t>
        </is>
      </c>
      <c r="K50" s="12" t="str"/>
      <c r="L50" s="28" t="n"/>
      <c r="M50" s="16" t="inlineStr">
        <is>
          <t>Não</t>
        </is>
      </c>
      <c r="N50" s="12" t="inlineStr">
        <is>
          <t>Não aplicável</t>
        </is>
      </c>
      <c r="O50" s="12" t="str"/>
      <c r="P50" s="28" t="n"/>
      <c r="Q50" s="16">
        <f>IF(COUNTIFS($A$11:$A$55,A50)&lt;&gt;1,"ID inválido",IF(AND(OR(F50="Concluída",F50="Reaproveitada"),E50&lt;&gt;"",I50&lt;&gt;"",J50="Aceito",K50&lt;&gt;"",ISNUMBER(L50),L50&gt;0,OR(M50="Não",AND(M50="Sim",N50="Aceito",O50&lt;&gt;"",ISNUMBER(P50),P50&gt;0))),"Suficientes","Pendentes"))</f>
        <v/>
      </c>
      <c r="R50" s="16">
        <f>IF(SUM(COUNTIFS($A$11:$A$55,"T30",$Q$11:$Q$55,"Suficientes"),COUNTIFS($A$11:$A$55,"T06",$Q$11:$Q$55,"Suficientes"),COUNTIFS($A$11:$A$55,"T02",$Q$11:$Q$55,"Suficientes"),COUNTIFS($A$11:$A$55,"T03",$Q$11:$Q$55,"Suficientes"),COUNTIFS($A$11:$A$55,"T01",$Q$11:$Q$55,"Suficientes"),COUNTIFS($A$11:$A$55,"T04",$Q$11:$Q$55,"Suficientes"),COUNTIFS($A$11:$A$55,"T07",$Q$11:$Q$55,"Suficientes"),COUNTIFS($A$11:$A$55,"T21",$Q$11:$Q$55,"Suficientes"),COUNTIFS($A$11:$A$55,"T16",$Q$11:$Q$55,"Suficientes"),COUNTIFS($A$11:$A$55,"T05",$Q$11:$Q$55,"Suficientes"),COUNTIFS($A$11:$A$55,"T08",$Q$11:$Q$55,"Suficientes"),COUNTIFS($A$11:$A$55,"T18",$Q$11:$Q$55,"Suficientes"),COUNTIFS($A$11:$A$55,"T22",$Q$11:$Q$55,"Suficientes"),COUNTIFS($A$11:$A$55,"T26",$Q$11:$Q$55,"Suficientes"),COUNTIFS($A$11:$A$55,"T20",$Q$11:$Q$55,"Suficientes"),COUNTIFS($A$11:$A$55,"T19",$Q$11:$Q$55,"Suficientes"),COUNTIFS($A$11:$A$55,"T09",$Q$11:$Q$55,"Suficientes"),COUNTIFS($A$11:$A$55,"T10",$Q$11:$Q$55,"Suficientes"),COUNTIFS($A$11:$A$55,"T24",$Q$11:$Q$55,"Suficientes"),COUNTIFS($A$11:$A$55,"T23",$Q$11:$Q$55,"Suficientes"),COUNTIFS($A$11:$A$55,"T25",$Q$11:$Q$55,"Suficientes"),COUNTIFS($A$11:$A$55,"T27",$Q$11:$Q$55,"Suficientes"),COUNTIFS($A$11:$A$55,"T28",$Q$11:$Q$55,"Suficientes"),COUNTIFS($A$11:$A$55,"T17",$Q$11:$Q$55,"Suficientes"),COUNTIFS($A$11:$A$55,"T15",$Q$11:$Q$55,"Suficientes"),COUNTIFS($A$11:$A$55,"T29",$Q$11:$Q$55,"Suficientes"),COUNTIFS($A$11:$A$55,"T34",$Q$11:$Q$55,"Suficientes"),COUNTIFS($A$11:$A$55,"T31",$Q$11:$Q$55,"Suficientes"),COUNTIFS($A$11:$A$55,"T32",$Q$11:$Q$55,"Suficientes"),COUNTIFS($A$11:$A$55,"T33",$Q$11:$Q$55,"Suficientes"),COUNTIFS($A$11:$A$55,"T38",$Q$11:$Q$55,"Suficientes"),COUNTIFS($A$11:$A$55,"T11",$Q$11:$Q$55,"Suficientes"),COUNTIFS($A$11:$A$55,"T37",$Q$11:$Q$55,"Suficientes"),COUNTIFS($A$11:$A$55,"T39",$Q$11:$Q$55,"Suficientes"),COUNTIFS($A$11:$A$55,"T35",$Q$11:$Q$55,"Suficientes"),COUNTIFS($A$11:$A$55,"T36",$Q$11:$Q$55,"Suficientes"))=36,"Liberadas","Pendentes")</f>
        <v/>
      </c>
      <c r="S50" s="12" t="str"/>
      <c r="T50" s="16" t="inlineStr">
        <is>
          <t>CT21, CT24, CT28</t>
        </is>
      </c>
    </row>
    <row r="51" ht="56" customHeight="1">
      <c r="A51" s="16" t="inlineStr">
        <is>
          <t>T41</t>
        </is>
      </c>
      <c r="B51" s="16" t="inlineStr">
        <is>
          <t>Ligar respostas da IA ao resultado validado e seu escopo</t>
        </is>
      </c>
      <c r="C51" s="16" t="inlineStr">
        <is>
          <t>6 Canais e implantação</t>
        </is>
      </c>
      <c r="D51" s="16" t="inlineStr">
        <is>
          <t>T05, T30, T34, T38, T39, T40</t>
        </is>
      </c>
      <c r="E51" s="12" t="str"/>
      <c r="F51" s="12" t="inlineStr">
        <is>
          <t>Não iniciada</t>
        </is>
      </c>
      <c r="G51" s="16">
        <f>IF(F51="Bloqueada","Bloqueada",IF(AND(OR(F51="Concluída",F51="Reaproveitada"),Q51="Suficientes",R51="Liberadas"),"Concluída",IF(R51&lt;&gt;"Liberadas","Aguardando dependência",IF(OR(F51="Concluída",F51="Reaproveitada"),"Em validação",F51))))</f>
        <v/>
      </c>
      <c r="H51" s="16">
        <f>IF(G51="Concluída","",IF(Q51="ID inválido","Corrigir ID duplicado",IF(R51&lt;&gt;"Liberadas","Dependências sem conclusão comprovada",IF(F51="Bloqueada","Registrar bloqueio em observações",IF(NOT(OR(F51="Concluída",F51="Reaproveitada")),"Execução ainda não concluída",IF(E51="","Definir responsável",IF(I51="","Anexar evidências",IF(J51&lt;&gt;"Aceito","Aceite técnico pendente",IF(OR(K51="",NOT(ISNUMBER(L51)),L51&lt;=0),"Registrar validador e data técnicos","Aceite financeiro pendente")))))))))</f>
        <v/>
      </c>
      <c r="I51" s="12" t="str"/>
      <c r="J51" s="12" t="inlineStr">
        <is>
          <t>Pendente</t>
        </is>
      </c>
      <c r="K51" s="12" t="str"/>
      <c r="L51" s="28" t="n"/>
      <c r="M51" s="16" t="inlineStr">
        <is>
          <t>Não</t>
        </is>
      </c>
      <c r="N51" s="12" t="inlineStr">
        <is>
          <t>Não aplicável</t>
        </is>
      </c>
      <c r="O51" s="12" t="str"/>
      <c r="P51" s="28" t="n"/>
      <c r="Q51" s="16">
        <f>IF(COUNTIFS($A$11:$A$55,A51)&lt;&gt;1,"ID inválido",IF(AND(OR(F51="Concluída",F51="Reaproveitada"),E51&lt;&gt;"",I51&lt;&gt;"",J51="Aceito",K51&lt;&gt;"",ISNUMBER(L51),L51&gt;0,OR(M51="Não",AND(M51="Sim",N51="Aceito",O51&lt;&gt;"",ISNUMBER(P51),P51&gt;0))),"Suficientes","Pendentes"))</f>
        <v/>
      </c>
      <c r="R51" s="16">
        <f>IF(SUM(COUNTIFS($A$11:$A$55,"T05",$Q$11:$Q$55,"Suficientes"),COUNTIFS($A$11:$A$55,"T03",$Q$11:$Q$55,"Suficientes"),COUNTIFS($A$11:$A$55,"T01",$Q$11:$Q$55,"Suficientes"),COUNTIFS($A$11:$A$55,"T02",$Q$11:$Q$55,"Suficientes"),COUNTIFS($A$11:$A$55,"T04",$Q$11:$Q$55,"Suficientes"),COUNTIFS($A$11:$A$55,"T30",$Q$11:$Q$55,"Suficientes"),COUNTIFS($A$11:$A$55,"T06",$Q$11:$Q$55,"Suficientes"),COUNTIFS($A$11:$A$55,"T07",$Q$11:$Q$55,"Suficientes"),COUNTIFS($A$11:$A$55,"T21",$Q$11:$Q$55,"Suficientes"),COUNTIFS($A$11:$A$55,"T16",$Q$11:$Q$55,"Suficientes"),COUNTIFS($A$11:$A$55,"T08",$Q$11:$Q$55,"Suficientes"),COUNTIFS($A$11:$A$55,"T18",$Q$11:$Q$55,"Suficientes"),COUNTIFS($A$11:$A$55,"T22",$Q$11:$Q$55,"Suficientes"),COUNTIFS($A$11:$A$55,"T26",$Q$11:$Q$55,"Suficientes"),COUNTIFS($A$11:$A$55,"T20",$Q$11:$Q$55,"Suficientes"),COUNTIFS($A$11:$A$55,"T19",$Q$11:$Q$55,"Suficientes"),COUNTIFS($A$11:$A$55,"T09",$Q$11:$Q$55,"Suficientes"),COUNTIFS($A$11:$A$55,"T10",$Q$11:$Q$55,"Suficientes"),COUNTIFS($A$11:$A$55,"T24",$Q$11:$Q$55,"Suficientes"),COUNTIFS($A$11:$A$55,"T23",$Q$11:$Q$55,"Suficientes"),COUNTIFS($A$11:$A$55,"T25",$Q$11:$Q$55,"Suficientes"),COUNTIFS($A$11:$A$55,"T27",$Q$11:$Q$55,"Suficientes"),COUNTIFS($A$11:$A$55,"T28",$Q$11:$Q$55,"Suficientes"),COUNTIFS($A$11:$A$55,"T17",$Q$11:$Q$55,"Suficientes"),COUNTIFS($A$11:$A$55,"T15",$Q$11:$Q$55,"Suficientes"),COUNTIFS($A$11:$A$55,"T29",$Q$11:$Q$55,"Suficientes"),COUNTIFS($A$11:$A$55,"T34",$Q$11:$Q$55,"Suficientes"),COUNTIFS($A$11:$A$55,"T31",$Q$11:$Q$55,"Suficientes"),COUNTIFS($A$11:$A$55,"T32",$Q$11:$Q$55,"Suficientes"),COUNTIFS($A$11:$A$55,"T33",$Q$11:$Q$55,"Suficientes"),COUNTIFS($A$11:$A$55,"T38",$Q$11:$Q$55,"Suficientes"),COUNTIFS($A$11:$A$55,"T11",$Q$11:$Q$55,"Suficientes"),COUNTIFS($A$11:$A$55,"T37",$Q$11:$Q$55,"Suficientes"),COUNTIFS($A$11:$A$55,"T39",$Q$11:$Q$55,"Suficientes"),COUNTIFS($A$11:$A$55,"T35",$Q$11:$Q$55,"Suficientes"),COUNTIFS($A$11:$A$55,"T36",$Q$11:$Q$55,"Suficientes"),COUNTIFS($A$11:$A$55,"T40",$Q$11:$Q$55,"Suficientes"))=37,"Liberadas","Pendentes")</f>
        <v/>
      </c>
      <c r="S51" s="12" t="str"/>
      <c r="T51" s="16" t="inlineStr">
        <is>
          <t>CT21, CT24, CT28</t>
        </is>
      </c>
    </row>
    <row r="52" ht="56" customHeight="1">
      <c r="A52" s="16" t="inlineStr">
        <is>
          <t>T42</t>
        </is>
      </c>
      <c r="B52" s="16" t="inlineStr">
        <is>
          <t>Verificar isolamento em caches exportações IA e tarefas de fundo</t>
        </is>
      </c>
      <c r="C52" s="16" t="inlineStr">
        <is>
          <t>6 Canais e implantação</t>
        </is>
      </c>
      <c r="D52" s="16" t="inlineStr">
        <is>
          <t>T05, T10, T16, T40, T41</t>
        </is>
      </c>
      <c r="E52" s="12" t="str"/>
      <c r="F52" s="12" t="inlineStr">
        <is>
          <t>Não iniciada</t>
        </is>
      </c>
      <c r="G52" s="16">
        <f>IF(F52="Bloqueada","Bloqueada",IF(AND(OR(F52="Concluída",F52="Reaproveitada"),Q52="Suficientes",R52="Liberadas"),"Concluída",IF(R52&lt;&gt;"Liberadas","Aguardando dependência",IF(OR(F52="Concluída",F52="Reaproveitada"),"Em validação",F52))))</f>
        <v/>
      </c>
      <c r="H52" s="16">
        <f>IF(G52="Concluída","",IF(Q52="ID inválido","Corrigir ID duplicado",IF(R52&lt;&gt;"Liberadas","Dependências sem conclusão comprovada",IF(F52="Bloqueada","Registrar bloqueio em observações",IF(NOT(OR(F52="Concluída",F52="Reaproveitada")),"Execução ainda não concluída",IF(E52="","Definir responsável",IF(I52="","Anexar evidências",IF(J52&lt;&gt;"Aceito","Aceite técnico pendente",IF(OR(K52="",NOT(ISNUMBER(L52)),L52&lt;=0),"Registrar validador e data técnicos","Aceite financeiro pendente")))))))))</f>
        <v/>
      </c>
      <c r="I52" s="12" t="str"/>
      <c r="J52" s="12" t="inlineStr">
        <is>
          <t>Pendente</t>
        </is>
      </c>
      <c r="K52" s="12" t="str"/>
      <c r="L52" s="28" t="n"/>
      <c r="M52" s="16" t="inlineStr">
        <is>
          <t>Não</t>
        </is>
      </c>
      <c r="N52" s="12" t="inlineStr">
        <is>
          <t>Não aplicável</t>
        </is>
      </c>
      <c r="O52" s="12" t="str"/>
      <c r="P52" s="28" t="n"/>
      <c r="Q52" s="16">
        <f>IF(COUNTIFS($A$11:$A$55,A52)&lt;&gt;1,"ID inválido",IF(AND(OR(F52="Concluída",F52="Reaproveitada"),E52&lt;&gt;"",I52&lt;&gt;"",J52="Aceito",K52&lt;&gt;"",ISNUMBER(L52),L52&gt;0,OR(M52="Não",AND(M52="Sim",N52="Aceito",O52&lt;&gt;"",ISNUMBER(P52),P52&gt;0))),"Suficientes","Pendentes"))</f>
        <v/>
      </c>
      <c r="R52" s="16">
        <f>IF(SUM(COUNTIFS($A$11:$A$55,"T05",$Q$11:$Q$55,"Suficientes"),COUNTIFS($A$11:$A$55,"T03",$Q$11:$Q$55,"Suficientes"),COUNTIFS($A$11:$A$55,"T01",$Q$11:$Q$55,"Suficientes"),COUNTIFS($A$11:$A$55,"T02",$Q$11:$Q$55,"Suficientes"),COUNTIFS($A$11:$A$55,"T04",$Q$11:$Q$55,"Suficientes"),COUNTIFS($A$11:$A$55,"T10",$Q$11:$Q$55,"Suficientes"),COUNTIFS($A$11:$A$55,"T08",$Q$11:$Q$55,"Suficientes"),COUNTIFS($A$11:$A$55,"T06",$Q$11:$Q$55,"Suficientes"),COUNTIFS($A$11:$A$55,"T07",$Q$11:$Q$55,"Suficientes"),COUNTIFS($A$11:$A$55,"T09",$Q$11:$Q$55,"Suficientes"),COUNTIFS($A$11:$A$55,"T16",$Q$11:$Q$55,"Suficientes"),COUNTIFS($A$11:$A$55,"T40",$Q$11:$Q$55,"Suficientes"),COUNTIFS($A$11:$A$55,"T30",$Q$11:$Q$55,"Suficientes"),COUNTIFS($A$11:$A$55,"T21",$Q$11:$Q$55,"Suficientes"),COUNTIFS($A$11:$A$55,"T18",$Q$11:$Q$55,"Suficientes"),COUNTIFS($A$11:$A$55,"T22",$Q$11:$Q$55,"Suficientes"),COUNTIFS($A$11:$A$55,"T26",$Q$11:$Q$55,"Suficientes"),COUNTIFS($A$11:$A$55,"T20",$Q$11:$Q$55,"Suficientes"),COUNTIFS($A$11:$A$55,"T19",$Q$11:$Q$55,"Suficientes"),COUNTIFS($A$11:$A$55,"T24",$Q$11:$Q$55,"Suficientes"),COUNTIFS($A$11:$A$55,"T23",$Q$11:$Q$55,"Suficientes"),COUNTIFS($A$11:$A$55,"T25",$Q$11:$Q$55,"Suficientes"),COUNTIFS($A$11:$A$55,"T27",$Q$11:$Q$55,"Suficientes"),COUNTIFS($A$11:$A$55,"T28",$Q$11:$Q$55,"Suficientes"),COUNTIFS($A$11:$A$55,"T17",$Q$11:$Q$55,"Suficientes"),COUNTIFS($A$11:$A$55,"T15",$Q$11:$Q$55,"Suficientes"),COUNTIFS($A$11:$A$55,"T29",$Q$11:$Q$55,"Suficientes"),COUNTIFS($A$11:$A$55,"T34",$Q$11:$Q$55,"Suficientes"),COUNTIFS($A$11:$A$55,"T31",$Q$11:$Q$55,"Suficientes"),COUNTIFS($A$11:$A$55,"T32",$Q$11:$Q$55,"Suficientes"),COUNTIFS($A$11:$A$55,"T33",$Q$11:$Q$55,"Suficientes"),COUNTIFS($A$11:$A$55,"T38",$Q$11:$Q$55,"Suficientes"),COUNTIFS($A$11:$A$55,"T11",$Q$11:$Q$55,"Suficientes"),COUNTIFS($A$11:$A$55,"T37",$Q$11:$Q$55,"Suficientes"),COUNTIFS($A$11:$A$55,"T39",$Q$11:$Q$55,"Suficientes"),COUNTIFS($A$11:$A$55,"T35",$Q$11:$Q$55,"Suficientes"),COUNTIFS($A$11:$A$55,"T36",$Q$11:$Q$55,"Suficientes"),COUNTIFS($A$11:$A$55,"T41",$Q$11:$Q$55,"Suficientes"))=38,"Liberadas","Pendentes")</f>
        <v/>
      </c>
      <c r="S52" s="12" t="str"/>
      <c r="T52" s="16" t="inlineStr">
        <is>
          <t>CT24</t>
        </is>
      </c>
    </row>
    <row r="53" ht="68" customHeight="1">
      <c r="A53" s="16" t="inlineStr">
        <is>
          <t>T43</t>
        </is>
      </c>
      <c r="B53" s="16" t="inlineStr">
        <is>
          <t>Preparar a migração mínima em homologação</t>
        </is>
      </c>
      <c r="C53" s="16" t="inlineStr">
        <is>
          <t>6 Canais e implantação</t>
        </is>
      </c>
      <c r="D53" s="16" t="inlineStr">
        <is>
          <t>T10, T11, T12, T13, T14, T15, T17, T20, T21, T24, T26, T28, T32, T33, T37, T42</t>
        </is>
      </c>
      <c r="E53" s="12" t="str"/>
      <c r="F53" s="12" t="inlineStr">
        <is>
          <t>Não iniciada</t>
        </is>
      </c>
      <c r="G53" s="16">
        <f>IF(F53="Bloqueada","Bloqueada",IF(AND(OR(F53="Concluída",F53="Reaproveitada"),Q53="Suficientes",R53="Liberadas"),"Concluída",IF(R53&lt;&gt;"Liberadas","Aguardando dependência",IF(OR(F53="Concluída",F53="Reaproveitada"),"Em validação",F53))))</f>
        <v/>
      </c>
      <c r="H53" s="16">
        <f>IF(G53="Concluída","",IF(Q53="ID inválido","Corrigir ID duplicado",IF(R53&lt;&gt;"Liberadas","Dependências sem conclusão comprovada",IF(F53="Bloqueada","Registrar bloqueio em observações",IF(NOT(OR(F53="Concluída",F53="Reaproveitada")),"Execução ainda não concluída",IF(E53="","Definir responsável",IF(I53="","Anexar evidências",IF(J53&lt;&gt;"Aceito","Aceite técnico pendente",IF(OR(K53="",NOT(ISNUMBER(L53)),L53&lt;=0),"Registrar validador e data técnicos","Aceite financeiro pendente")))))))))</f>
        <v/>
      </c>
      <c r="I53" s="12" t="str"/>
      <c r="J53" s="12" t="inlineStr">
        <is>
          <t>Pendente</t>
        </is>
      </c>
      <c r="K53" s="12" t="str"/>
      <c r="L53" s="28" t="n"/>
      <c r="M53" s="16" t="inlineStr">
        <is>
          <t>Sim</t>
        </is>
      </c>
      <c r="N53" s="12" t="inlineStr">
        <is>
          <t>Pendente</t>
        </is>
      </c>
      <c r="O53" s="12" t="str"/>
      <c r="P53" s="28" t="n"/>
      <c r="Q53" s="16">
        <f>IF(COUNTIFS($A$11:$A$55,A53)&lt;&gt;1,"ID inválido",IF(AND(OR(F53="Concluída",F53="Reaproveitada"),E53&lt;&gt;"",I53&lt;&gt;"",J53="Aceito",K53&lt;&gt;"",ISNUMBER(L53),L53&gt;0,OR(M53="Não",AND(M53="Sim",N53="Aceito",O53&lt;&gt;"",ISNUMBER(P53),P53&gt;0))),"Suficientes","Pendentes"))</f>
        <v/>
      </c>
      <c r="R53" s="16">
        <f>IF(SUM(COUNTIFS($A$11:$A$55,"T10",$Q$11:$Q$55,"Suficientes"),COUNTIFS($A$11:$A$55,"T04",$Q$11:$Q$55,"Suficientes"),COUNTIFS($A$11:$A$55,"T01",$Q$11:$Q$55,"Suficientes"),COUNTIFS($A$11:$A$55,"T02",$Q$11:$Q$55,"Suficientes"),COUNTIFS($A$11:$A$55,"T08",$Q$11:$Q$55,"Suficientes"),COUNTIFS($A$11:$A$55,"T05",$Q$11:$Q$55,"Suficientes"),COUNTIFS($A$11:$A$55,"T03",$Q$11:$Q$55,"Suficientes"),COUNTIFS($A$11:$A$55,"T06",$Q$11:$Q$55,"Suficientes"),COUNTIFS($A$11:$A$55,"T07",$Q$11:$Q$55,"Suficientes"),COUNTIFS($A$11:$A$55,"T09",$Q$11:$Q$55,"Suficientes"),COUNTIFS($A$11:$A$55,"T11",$Q$11:$Q$55,"Suficientes"),COUNTIFS($A$11:$A$55,"T12",$Q$11:$Q$55,"Suficientes"),COUNTIFS($A$11:$A$55,"T13",$Q$11:$Q$55,"Suficientes"),COUNTIFS($A$11:$A$55,"T14",$Q$11:$Q$55,"Suficientes"),COUNTIFS($A$11:$A$55,"T15",$Q$11:$Q$55,"Suficientes"),COUNTIFS($A$11:$A$55,"T17",$Q$11:$Q$55,"Suficientes"),COUNTIFS($A$11:$A$55,"T16",$Q$11:$Q$55,"Suficientes"),COUNTIFS($A$11:$A$55,"T20",$Q$11:$Q$55,"Suficientes"),COUNTIFS($A$11:$A$55,"T18",$Q$11:$Q$55,"Suficientes"),COUNTIFS($A$11:$A$55,"T19",$Q$11:$Q$55,"Suficientes"),COUNTIFS($A$11:$A$55,"T21",$Q$11:$Q$55,"Suficientes"),COUNTIFS($A$11:$A$55,"T24",$Q$11:$Q$55,"Suficientes"),COUNTIFS($A$11:$A$55,"T22",$Q$11:$Q$55,"Suficientes"),COUNTIFS($A$11:$A$55,"T23",$Q$11:$Q$55,"Suficientes"),COUNTIFS($A$11:$A$55,"T26",$Q$11:$Q$55,"Suficientes"),COUNTIFS($A$11:$A$55,"T25",$Q$11:$Q$55,"Suficientes"),COUNTIFS($A$11:$A$55,"T28",$Q$11:$Q$55,"Suficientes"),COUNTIFS($A$11:$A$55,"T32",$Q$11:$Q$55,"Suficientes"),COUNTIFS($A$11:$A$55,"T31",$Q$11:$Q$55,"Suficientes"),COUNTIFS($A$11:$A$55,"T33",$Q$11:$Q$55,"Suficientes"),COUNTIFS($A$11:$A$55,"T37",$Q$11:$Q$55,"Suficientes"),COUNTIFS($A$11:$A$55,"T42",$Q$11:$Q$55,"Suficientes"),COUNTIFS($A$11:$A$55,"T40",$Q$11:$Q$55,"Suficientes"),COUNTIFS($A$11:$A$55,"T30",$Q$11:$Q$55,"Suficientes"),COUNTIFS($A$11:$A$55,"T27",$Q$11:$Q$55,"Suficientes"),COUNTIFS($A$11:$A$55,"T29",$Q$11:$Q$55,"Suficientes"),COUNTIFS($A$11:$A$55,"T34",$Q$11:$Q$55,"Suficientes"),COUNTIFS($A$11:$A$55,"T38",$Q$11:$Q$55,"Suficientes"),COUNTIFS($A$11:$A$55,"T39",$Q$11:$Q$55,"Suficientes"),COUNTIFS($A$11:$A$55,"T35",$Q$11:$Q$55,"Suficientes"),COUNTIFS($A$11:$A$55,"T36",$Q$11:$Q$55,"Suficientes"),COUNTIFS($A$11:$A$55,"T41",$Q$11:$Q$55,"Suficientes"))=42,"Liberadas","Pendentes")</f>
        <v/>
      </c>
      <c r="S53" s="12" t="str"/>
      <c r="T53" s="16" t="inlineStr">
        <is>
          <t>CT01, CT02, CT12, CT20, CT24</t>
        </is>
      </c>
    </row>
    <row r="54" ht="120" customHeight="1">
      <c r="A54" s="16" t="inlineStr">
        <is>
          <t>T44</t>
        </is>
      </c>
      <c r="B54" s="16" t="inlineStr">
        <is>
          <t>Homologar oráculos e conciliar a ponte com o financeiro</t>
        </is>
      </c>
      <c r="C54" s="16" t="inlineStr">
        <is>
          <t>6 Canais e implantação</t>
        </is>
      </c>
      <c r="D54" s="16" t="inlineStr">
        <is>
          <t>T03, T12, T13, T14, T30, T32, T33, T34, T37, T38, T39, T40, T41, T42, T43</t>
        </is>
      </c>
      <c r="E54" s="12" t="str"/>
      <c r="F54" s="12" t="inlineStr">
        <is>
          <t>Não iniciada</t>
        </is>
      </c>
      <c r="G54" s="16">
        <f>IF(F54="Bloqueada","Bloqueada",IF(AND(OR(F54="Concluída",F54="Reaproveitada"),Q54="Suficientes",R54="Liberadas"),"Concluída",IF(R54&lt;&gt;"Liberadas","Aguardando dependência",IF(OR(F54="Concluída",F54="Reaproveitada"),"Em validação",F54))))</f>
        <v/>
      </c>
      <c r="H54" s="16">
        <f>IF(G54="Concluída","",IF(Q54="ID inválido","Corrigir ID duplicado",IF(R54&lt;&gt;"Liberadas","Dependências sem conclusão comprovada",IF(F54="Bloqueada","Registrar bloqueio em observações",IF(NOT(OR(F54="Concluída",F54="Reaproveitada")),"Execução ainda não concluída",IF(E54="","Definir responsável",IF(I54="","Anexar evidências",IF(J54&lt;&gt;"Aceito","Aceite técnico pendente",IF(OR(K54="",NOT(ISNUMBER(L54)),L54&lt;=0),"Registrar validador e data técnicos","Aceite financeiro pendente")))))))))</f>
        <v/>
      </c>
      <c r="I54" s="12" t="str"/>
      <c r="J54" s="12" t="inlineStr">
        <is>
          <t>Pendente</t>
        </is>
      </c>
      <c r="K54" s="12" t="str"/>
      <c r="L54" s="28" t="n"/>
      <c r="M54" s="16" t="inlineStr">
        <is>
          <t>Sim</t>
        </is>
      </c>
      <c r="N54" s="12" t="inlineStr">
        <is>
          <t>Pendente</t>
        </is>
      </c>
      <c r="O54" s="12" t="str"/>
      <c r="P54" s="28" t="n"/>
      <c r="Q54" s="16">
        <f>IF(COUNTIFS($A$11:$A$55,A54)&lt;&gt;1,"ID inválido",IF(AND(OR(F54="Concluída",F54="Reaproveitada"),E54&lt;&gt;"",I54&lt;&gt;"",J54="Aceito",K54&lt;&gt;"",ISNUMBER(L54),L54&gt;0,OR(M54="Não",AND(M54="Sim",N54="Aceito",O54&lt;&gt;"",ISNUMBER(P54),P54&gt;0))),"Suficientes","Pendentes"))</f>
        <v/>
      </c>
      <c r="R54" s="16">
        <f>IF(SUM(COUNTIFS($A$11:$A$55,"T03",$Q$11:$Q$55,"Suficientes"),COUNTIFS($A$11:$A$55,"T01",$Q$11:$Q$55,"Suficientes"),COUNTIFS($A$11:$A$55,"T02",$Q$11:$Q$55,"Suficientes"),COUNTIFS($A$11:$A$55,"T12",$Q$11:$Q$55,"Suficientes"),COUNTIFS($A$11:$A$55,"T09",$Q$11:$Q$55,"Suficientes"),COUNTIFS($A$11:$A$55,"T04",$Q$11:$Q$55,"Suficientes"),COUNTIFS($A$11:$A$55,"T05",$Q$11:$Q$55,"Suficientes"),COUNTIFS($A$11:$A$55,"T07",$Q$11:$Q$55,"Suficientes"),COUNTIFS($A$11:$A$55,"T10",$Q$11:$Q$55,"Suficientes"),COUNTIFS($A$11:$A$55,"T08",$Q$11:$Q$55,"Suficientes"),COUNTIFS($A$11:$A$55,"T06",$Q$11:$Q$55,"Suficientes"),COUNTIFS($A$11:$A$55,"T11",$Q$11:$Q$55,"Suficientes"),COUNTIFS($A$11:$A$55,"T13",$Q$11:$Q$55,"Suficientes"),COUNTIFS($A$11:$A$55,"T14",$Q$11:$Q$55,"Suficientes"),COUNTIFS($A$11:$A$55,"T30",$Q$11:$Q$55,"Suficientes"),COUNTIFS($A$11:$A$55,"T21",$Q$11:$Q$55,"Suficientes"),COUNTIFS($A$11:$A$55,"T16",$Q$11:$Q$55,"Suficientes"),COUNTIFS($A$11:$A$55,"T18",$Q$11:$Q$55,"Suficientes"),COUNTIFS($A$11:$A$55,"T22",$Q$11:$Q$55,"Suficientes"),COUNTIFS($A$11:$A$55,"T26",$Q$11:$Q$55,"Suficientes"),COUNTIFS($A$11:$A$55,"T20",$Q$11:$Q$55,"Suficientes"),COUNTIFS($A$11:$A$55,"T19",$Q$11:$Q$55,"Suficientes"),COUNTIFS($A$11:$A$55,"T24",$Q$11:$Q$55,"Suficientes"),COUNTIFS($A$11:$A$55,"T23",$Q$11:$Q$55,"Suficientes"),COUNTIFS($A$11:$A$55,"T25",$Q$11:$Q$55,"Suficientes"),COUNTIFS($A$11:$A$55,"T27",$Q$11:$Q$55,"Suficientes"),COUNTIFS($A$11:$A$55,"T28",$Q$11:$Q$55,"Suficientes"),COUNTIFS($A$11:$A$55,"T17",$Q$11:$Q$55,"Suficientes"),COUNTIFS($A$11:$A$55,"T15",$Q$11:$Q$55,"Suficientes"),COUNTIFS($A$11:$A$55,"T29",$Q$11:$Q$55,"Suficientes"),COUNTIFS($A$11:$A$55,"T32",$Q$11:$Q$55,"Suficientes"),COUNTIFS($A$11:$A$55,"T31",$Q$11:$Q$55,"Suficientes"),COUNTIFS($A$11:$A$55,"T33",$Q$11:$Q$55,"Suficientes"),COUNTIFS($A$11:$A$55,"T34",$Q$11:$Q$55,"Suficientes"),COUNTIFS($A$11:$A$55,"T37",$Q$11:$Q$55,"Suficientes"),COUNTIFS($A$11:$A$55,"T38",$Q$11:$Q$55,"Suficientes"),COUNTIFS($A$11:$A$55,"T39",$Q$11:$Q$55,"Suficientes"),COUNTIFS($A$11:$A$55,"T35",$Q$11:$Q$55,"Suficientes"),COUNTIFS($A$11:$A$55,"T36",$Q$11:$Q$55,"Suficientes"),COUNTIFS($A$11:$A$55,"T40",$Q$11:$Q$55,"Suficientes"),COUNTIFS($A$11:$A$55,"T41",$Q$11:$Q$55,"Suficientes"),COUNTIFS($A$11:$A$55,"T42",$Q$11:$Q$55,"Suficientes"),COUNTIFS($A$11:$A$55,"T43",$Q$11:$Q$55,"Suficientes"))=43,"Liberadas","Pendentes")</f>
        <v/>
      </c>
      <c r="S54" s="12" t="str"/>
      <c r="T54" s="16" t="inlineStr">
        <is>
          <t>CT01, CT02, CT03, CT04, CT05, CT06, CT07, CT08, CT09, CT10, CT11, CT12, CT13, CT14, CT15, CT16, CT17, CT18, CT19, CT20, CT21, CT22, CT23, CT24, CT25, CT26, CT27, CT28, CT29, CT30</t>
        </is>
      </c>
    </row>
    <row r="55" ht="56" customHeight="1">
      <c r="A55" s="16" t="inlineStr">
        <is>
          <t>T45</t>
        </is>
      </c>
      <c r="B55" s="16" t="inlineStr">
        <is>
          <t>Liberar por etapa e acompanhar os controles financeiros</t>
        </is>
      </c>
      <c r="C55" s="16" t="inlineStr">
        <is>
          <t>6 Canais e implantação</t>
        </is>
      </c>
      <c r="D55" s="16" t="inlineStr">
        <is>
          <t>T44</t>
        </is>
      </c>
      <c r="E55" s="12" t="str"/>
      <c r="F55" s="12" t="inlineStr">
        <is>
          <t>Não iniciada</t>
        </is>
      </c>
      <c r="G55" s="16">
        <f>IF(F55="Bloqueada","Bloqueada",IF(AND(OR(F55="Concluída",F55="Reaproveitada"),Q55="Suficientes",R55="Liberadas"),"Concluída",IF(R55&lt;&gt;"Liberadas","Aguardando dependência",IF(OR(F55="Concluída",F55="Reaproveitada"),"Em validação",F55))))</f>
        <v/>
      </c>
      <c r="H55" s="16">
        <f>IF(G55="Concluída","",IF(Q55="ID inválido","Corrigir ID duplicado",IF(R55&lt;&gt;"Liberadas","Dependências sem conclusão comprovada",IF(F55="Bloqueada","Registrar bloqueio em observações",IF(NOT(OR(F55="Concluída",F55="Reaproveitada")),"Execução ainda não concluída",IF(E55="","Definir responsável",IF(I55="","Anexar evidências",IF(J55&lt;&gt;"Aceito","Aceite técnico pendente",IF(OR(K55="",NOT(ISNUMBER(L55)),L55&lt;=0),"Registrar validador e data técnicos","Aceite financeiro pendente")))))))))</f>
        <v/>
      </c>
      <c r="I55" s="12" t="str"/>
      <c r="J55" s="12" t="inlineStr">
        <is>
          <t>Pendente</t>
        </is>
      </c>
      <c r="K55" s="12" t="str"/>
      <c r="L55" s="28" t="n"/>
      <c r="M55" s="16" t="inlineStr">
        <is>
          <t>Sim</t>
        </is>
      </c>
      <c r="N55" s="12" t="inlineStr">
        <is>
          <t>Pendente</t>
        </is>
      </c>
      <c r="O55" s="12" t="str"/>
      <c r="P55" s="28" t="n"/>
      <c r="Q55" s="16">
        <f>IF(COUNTIFS($A$11:$A$55,A55)&lt;&gt;1,"ID inválido",IF(AND(OR(F55="Concluída",F55="Reaproveitada"),E55&lt;&gt;"",I55&lt;&gt;"",J55="Aceito",K55&lt;&gt;"",ISNUMBER(L55),L55&gt;0,OR(M55="Não",AND(M55="Sim",N55="Aceito",O55&lt;&gt;"",ISNUMBER(P55),P55&gt;0))),"Suficientes","Pendentes"))</f>
        <v/>
      </c>
      <c r="R55" s="16">
        <f>IF(SUM(COUNTIFS($A$11:$A$55,"T44",$Q$11:$Q$55,"Suficientes"),COUNTIFS($A$11:$A$55,"T03",$Q$11:$Q$55,"Suficientes"),COUNTIFS($A$11:$A$55,"T01",$Q$11:$Q$55,"Suficientes"),COUNTIFS($A$11:$A$55,"T02",$Q$11:$Q$55,"Suficientes"),COUNTIFS($A$11:$A$55,"T12",$Q$11:$Q$55,"Suficientes"),COUNTIFS($A$11:$A$55,"T09",$Q$11:$Q$55,"Suficientes"),COUNTIFS($A$11:$A$55,"T04",$Q$11:$Q$55,"Suficientes"),COUNTIFS($A$11:$A$55,"T05",$Q$11:$Q$55,"Suficientes"),COUNTIFS($A$11:$A$55,"T07",$Q$11:$Q$55,"Suficientes"),COUNTIFS($A$11:$A$55,"T10",$Q$11:$Q$55,"Suficientes"),COUNTIFS($A$11:$A$55,"T08",$Q$11:$Q$55,"Suficientes"),COUNTIFS($A$11:$A$55,"T06",$Q$11:$Q$55,"Suficientes"),COUNTIFS($A$11:$A$55,"T11",$Q$11:$Q$55,"Suficientes"),COUNTIFS($A$11:$A$55,"T13",$Q$11:$Q$55,"Suficientes"),COUNTIFS($A$11:$A$55,"T14",$Q$11:$Q$55,"Suficientes"),COUNTIFS($A$11:$A$55,"T30",$Q$11:$Q$55,"Suficientes"),COUNTIFS($A$11:$A$55,"T21",$Q$11:$Q$55,"Suficientes"),COUNTIFS($A$11:$A$55,"T16",$Q$11:$Q$55,"Suficientes"),COUNTIFS($A$11:$A$55,"T18",$Q$11:$Q$55,"Suficientes"),COUNTIFS($A$11:$A$55,"T22",$Q$11:$Q$55,"Suficientes"),COUNTIFS($A$11:$A$55,"T26",$Q$11:$Q$55,"Suficientes"),COUNTIFS($A$11:$A$55,"T20",$Q$11:$Q$55,"Suficientes"),COUNTIFS($A$11:$A$55,"T19",$Q$11:$Q$55,"Suficientes"),COUNTIFS($A$11:$A$55,"T24",$Q$11:$Q$55,"Suficientes"),COUNTIFS($A$11:$A$55,"T23",$Q$11:$Q$55,"Suficientes"),COUNTIFS($A$11:$A$55,"T25",$Q$11:$Q$55,"Suficientes"),COUNTIFS($A$11:$A$55,"T27",$Q$11:$Q$55,"Suficientes"),COUNTIFS($A$11:$A$55,"T28",$Q$11:$Q$55,"Suficientes"),COUNTIFS($A$11:$A$55,"T17",$Q$11:$Q$55,"Suficientes"),COUNTIFS($A$11:$A$55,"T15",$Q$11:$Q$55,"Suficientes"),COUNTIFS($A$11:$A$55,"T29",$Q$11:$Q$55,"Suficientes"),COUNTIFS($A$11:$A$55,"T32",$Q$11:$Q$55,"Suficientes"),COUNTIFS($A$11:$A$55,"T31",$Q$11:$Q$55,"Suficientes"),COUNTIFS($A$11:$A$55,"T33",$Q$11:$Q$55,"Suficientes"),COUNTIFS($A$11:$A$55,"T34",$Q$11:$Q$55,"Suficientes"),COUNTIFS($A$11:$A$55,"T37",$Q$11:$Q$55,"Suficientes"),COUNTIFS($A$11:$A$55,"T38",$Q$11:$Q$55,"Suficientes"),COUNTIFS($A$11:$A$55,"T39",$Q$11:$Q$55,"Suficientes"),COUNTIFS($A$11:$A$55,"T35",$Q$11:$Q$55,"Suficientes"),COUNTIFS($A$11:$A$55,"T36",$Q$11:$Q$55,"Suficientes"),COUNTIFS($A$11:$A$55,"T40",$Q$11:$Q$55,"Suficientes"),COUNTIFS($A$11:$A$55,"T41",$Q$11:$Q$55,"Suficientes"),COUNTIFS($A$11:$A$55,"T42",$Q$11:$Q$55,"Suficientes"),COUNTIFS($A$11:$A$55,"T43",$Q$11:$Q$55,"Suficientes"))=44,"Liberadas","Pendentes")</f>
        <v/>
      </c>
      <c r="S55" s="12" t="str"/>
      <c r="T55" s="16" t="inlineStr">
        <is>
          <t>CT21, CT24, CT28</t>
        </is>
      </c>
    </row>
  </sheetData>
  <conditionalFormatting sqref="G11:G55">
    <cfRule type="containsText" priority="1" operator="containsText" dxfId="0" text="Aguardando"/>
    <cfRule type="containsText" priority="2" operator="containsText" dxfId="1" text="Bloqueada"/>
    <cfRule type="containsText" priority="3" operator="containsText" dxfId="0" text="Em validação"/>
  </conditionalFormatting>
  <dataValidations count="3">
    <dataValidation sqref="F11:F55" showDropDown="0" showInputMessage="0" showErrorMessage="0" allowBlank="0" type="list">
      <formula1>"Não iniciada,Em andamento,Em validação,Bloqueada,Concluída,Reaproveitada"</formula1>
    </dataValidation>
    <dataValidation sqref="J11:J55" showDropDown="0" showInputMessage="0" showErrorMessage="0" allowBlank="0" type="list">
      <formula1>"Pendente,Aceito,Reprovado"</formula1>
    </dataValidation>
    <dataValidation sqref="N11:N55" showDropDown="0" showInputMessage="0" showErrorMessage="0" allowBlank="0" type="list">
      <formula1>"Pendente,Aceito,Reprovado,Não aplicável"</formula1>
    </dataValidation>
  </dataValidation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Q355"/>
  <sheetViews>
    <sheetView showGridLines="0" workbookViewId="0">
      <pane xSplit="2" ySplit="9" topLeftCell="C10" activePane="bottomRight" state="frozen"/>
      <selection activeCell="A1" sqref="A1"/>
    </sheetView>
  </sheetViews>
  <sheetFormatPr baseColWidth="8" defaultRowHeight="15"/>
  <cols>
    <col width="10" customWidth="1" min="1" max="1"/>
    <col width="54" customWidth="1" min="2" max="2"/>
    <col width="24" customWidth="1" min="3" max="3"/>
    <col width="17" customWidth="1" min="4" max="4"/>
    <col width="12" customWidth="1" min="5" max="5"/>
    <col width="24" customWidth="1" min="6" max="6"/>
    <col width="24" customWidth="1" min="7" max="7"/>
    <col width="22" customWidth="1" min="8" max="8"/>
    <col width="28" customWidth="1" min="9" max="9"/>
    <col width="44" customWidth="1" min="10" max="10"/>
    <col width="24" customWidth="1" min="11" max="11"/>
    <col width="20" customWidth="1" min="12" max="12"/>
    <col width="46" customWidth="1" min="13" max="13"/>
    <col width="80" customWidth="1" min="14" max="14"/>
    <col width="70" customWidth="1" min="15" max="15"/>
    <col width="70" customWidth="1" min="16" max="16"/>
    <col width="75" customWidth="1" min="17" max="17"/>
  </cols>
  <sheetData>
    <row r="1" ht="10" customHeight="1">
      <c r="A1" s="14" t="n"/>
      <c r="B1" s="14" t="n"/>
      <c r="C1" s="14" t="n"/>
      <c r="D1" s="14" t="n"/>
      <c r="E1" s="14" t="n"/>
      <c r="F1" s="14" t="n"/>
      <c r="G1" s="14" t="n"/>
      <c r="H1" s="14" t="n"/>
      <c r="I1" s="14" t="n"/>
      <c r="J1" s="14" t="n"/>
      <c r="K1" s="14" t="n"/>
      <c r="L1" s="14" t="n"/>
      <c r="M1" s="14" t="n"/>
      <c r="N1" s="14" t="n"/>
      <c r="O1" s="14" t="n"/>
      <c r="P1" s="14" t="n"/>
      <c r="Q1" s="14" t="n"/>
    </row>
    <row r="2" ht="25" customHeight="1">
      <c r="A2" s="3" t="inlineStr">
        <is>
          <t>Casos fictícios e resultados esperados</t>
        </is>
      </c>
      <c r="B2" s="14" t="n"/>
      <c r="C2" s="14" t="n"/>
      <c r="D2" s="14" t="n"/>
      <c r="E2" s="14" t="n"/>
      <c r="F2" s="14" t="n"/>
      <c r="G2" s="14" t="n"/>
      <c r="H2" s="14" t="n"/>
      <c r="I2" s="14" t="n"/>
      <c r="J2" s="14" t="n"/>
      <c r="K2" s="14" t="n"/>
      <c r="L2" s="14" t="n"/>
      <c r="M2" s="14" t="n"/>
      <c r="N2" s="14" t="n"/>
      <c r="O2" s="14" t="n"/>
      <c r="P2" s="14" t="n"/>
      <c r="Q2" s="14" t="n"/>
    </row>
    <row r="3">
      <c r="A3" s="4" t="n"/>
      <c r="B3" s="4" t="n"/>
      <c r="C3" s="4" t="n"/>
      <c r="D3" s="4" t="n"/>
      <c r="E3" s="4" t="n"/>
      <c r="F3" s="4" t="n"/>
      <c r="G3" s="4" t="n"/>
      <c r="H3" s="4" t="n"/>
      <c r="I3" s="4" t="n"/>
      <c r="J3" s="4" t="n"/>
      <c r="K3" s="4" t="n"/>
      <c r="L3" s="4" t="n"/>
      <c r="M3" s="4" t="n"/>
      <c r="N3" s="4" t="n"/>
      <c r="O3" s="4" t="n"/>
      <c r="P3" s="4" t="n"/>
      <c r="Q3" s="4" t="n"/>
    </row>
    <row r="4">
      <c r="A4" s="14" t="n"/>
      <c r="B4" s="14" t="inlineStr">
        <is>
          <t>Resultados esperados</t>
        </is>
      </c>
      <c r="C4" s="14" t="n">
        <v>346</v>
      </c>
      <c r="D4" s="14" t="n"/>
      <c r="E4" s="14" t="n"/>
      <c r="F4" s="14" t="inlineStr">
        <is>
          <t>Comprovações no app</t>
        </is>
      </c>
      <c r="G4" s="14">
        <f>COUNTIFS(I10:I355,"Compatível")</f>
        <v/>
      </c>
      <c r="H4" s="14" t="n"/>
      <c r="I4" s="14" t="n"/>
      <c r="J4" s="14" t="n"/>
      <c r="K4" s="14" t="n"/>
      <c r="L4" s="14" t="n"/>
      <c r="M4" s="14" t="n"/>
      <c r="N4" s="14" t="n"/>
      <c r="O4" s="14" t="n"/>
      <c r="P4" s="14" t="n"/>
      <c r="Q4" s="14" t="n"/>
    </row>
    <row r="5">
      <c r="A5" s="14" t="n"/>
      <c r="B5" s="14" t="n"/>
      <c r="C5" s="14" t="n"/>
      <c r="D5" s="14" t="n"/>
      <c r="E5" s="14" t="n"/>
      <c r="F5" s="14" t="n"/>
      <c r="G5" s="14" t="n"/>
      <c r="H5" s="14" t="n"/>
      <c r="I5" s="14" t="n"/>
      <c r="J5" s="14" t="n"/>
      <c r="K5" s="14" t="n"/>
      <c r="L5" s="14" t="n"/>
      <c r="M5" s="14" t="n"/>
      <c r="N5" s="14" t="n"/>
      <c r="O5" s="14" t="n"/>
      <c r="P5" s="14" t="n"/>
      <c r="Q5" s="14" t="n"/>
    </row>
    <row r="6">
      <c r="A6" s="14" t="inlineStr">
        <is>
          <t>Esperados são literais derivados das regras. Centavos BRL são inteiros. Obtido, evidência, executor e data começam vazios.</t>
        </is>
      </c>
      <c r="B6" s="14" t="n"/>
      <c r="C6" s="14" t="n"/>
      <c r="D6" s="14" t="n"/>
      <c r="E6" s="14" t="n"/>
      <c r="F6" s="14" t="n"/>
      <c r="G6" s="14" t="n"/>
      <c r="H6" s="14" t="n"/>
      <c r="I6" s="14" t="n"/>
      <c r="J6" s="14" t="n"/>
      <c r="K6" s="14" t="n"/>
      <c r="L6" s="14" t="n"/>
      <c r="M6" s="14" t="n"/>
      <c r="N6" s="14" t="n"/>
      <c r="O6" s="14" t="n"/>
      <c r="P6" s="14" t="n"/>
      <c r="Q6" s="14" t="n"/>
    </row>
    <row r="7">
      <c r="A7" s="14" t="inlineStr">
        <is>
          <t>Compatível refere-se somente à linha comparada. O aceite do caso também exige as verificações qualitativas descritas à direita.</t>
        </is>
      </c>
      <c r="B7" s="14" t="n"/>
      <c r="C7" s="14" t="n"/>
      <c r="D7" s="14" t="n"/>
      <c r="E7" s="14" t="n"/>
      <c r="F7" s="14" t="n"/>
      <c r="G7" s="14" t="n"/>
      <c r="H7" s="14" t="n"/>
      <c r="I7" s="14" t="n"/>
      <c r="J7" s="14" t="n"/>
      <c r="K7" s="14" t="n"/>
      <c r="L7" s="14" t="n"/>
      <c r="M7" s="14" t="n"/>
      <c r="N7" s="14" t="n"/>
      <c r="O7" s="14" t="n"/>
      <c r="P7" s="14" t="n"/>
      <c r="Q7" s="14" t="n"/>
    </row>
    <row r="8">
      <c r="A8" s="14" t="n"/>
      <c r="B8" s="14" t="n"/>
      <c r="C8" s="14" t="n"/>
      <c r="D8" s="14" t="n"/>
      <c r="E8" s="14" t="n"/>
      <c r="F8" s="14" t="n"/>
      <c r="G8" s="14" t="n"/>
      <c r="H8" s="14" t="n"/>
      <c r="I8" s="14" t="n"/>
      <c r="J8" s="14" t="n"/>
      <c r="K8" s="14" t="n"/>
      <c r="L8" s="14" t="n"/>
      <c r="M8" s="14" t="n"/>
      <c r="N8" s="14" t="n"/>
      <c r="O8" s="14" t="n"/>
      <c r="P8" s="14" t="n"/>
      <c r="Q8" s="14" t="n"/>
    </row>
    <row r="9" ht="38" customHeight="1">
      <c r="A9" s="8" t="inlineStr">
        <is>
          <t>Caso</t>
        </is>
      </c>
      <c r="B9" s="8" t="inlineStr">
        <is>
          <t>Campo esperado ou etapa</t>
        </is>
      </c>
      <c r="C9" s="8" t="inlineStr">
        <is>
          <t>Regra</t>
        </is>
      </c>
      <c r="D9" s="8" t="inlineStr">
        <is>
          <t>Unidade</t>
        </is>
      </c>
      <c r="E9" s="8" t="inlineStr">
        <is>
          <t>Relação</t>
        </is>
      </c>
      <c r="F9" s="8" t="inlineStr">
        <is>
          <t>Esperado</t>
        </is>
      </c>
      <c r="G9" s="8" t="inlineStr">
        <is>
          <t>Obtido no Elos</t>
        </is>
      </c>
      <c r="H9" s="8" t="inlineStr">
        <is>
          <t>Diferença</t>
        </is>
      </c>
      <c r="I9" s="8" t="inlineStr">
        <is>
          <t>Comparação com evidência</t>
        </is>
      </c>
      <c r="J9" s="8" t="inlineStr">
        <is>
          <t>Evidência da execução</t>
        </is>
      </c>
      <c r="K9" s="8" t="inlineStr">
        <is>
          <t>Executor</t>
        </is>
      </c>
      <c r="L9" s="8" t="inlineStr">
        <is>
          <t>Data da execução</t>
        </is>
      </c>
      <c r="M9" s="8" t="inlineStr">
        <is>
          <t>Cenário</t>
        </is>
      </c>
      <c r="N9" s="8" t="inlineStr">
        <is>
          <t>Entradas fictícias</t>
        </is>
      </c>
      <c r="O9" s="8" t="inlineStr">
        <is>
          <t>Operação</t>
        </is>
      </c>
      <c r="P9" s="8" t="inlineStr">
        <is>
          <t>Cálculo independente</t>
        </is>
      </c>
      <c r="Q9" s="8" t="inlineStr">
        <is>
          <t>Premissas e verificações qualitativas</t>
        </is>
      </c>
    </row>
    <row r="10" ht="112" customHeight="1">
      <c r="A10" s="20" t="inlineStr">
        <is>
          <t>CT01</t>
        </is>
      </c>
      <c r="B10" s="20" t="inlineStr">
        <is>
          <t>canonical_title_count</t>
        </is>
      </c>
      <c r="C10" s="20" t="inlineStr">
        <is>
          <t>§4, §14 item 1, I03, I22</t>
        </is>
      </c>
      <c r="D10" s="20" t="inlineStr">
        <is>
          <t>número</t>
        </is>
      </c>
      <c r="E10" s="20" t="inlineStr">
        <is>
          <t>=</t>
        </is>
      </c>
      <c r="F10" s="29" t="n">
        <v>2</v>
      </c>
      <c r="G10" s="30" t="n">
        <v>2</v>
      </c>
      <c r="H10" s="29">
        <f>IF(AND(ISNUMBER(F10),ISNUMBER(G10)),G10-F10,"")</f>
        <v/>
      </c>
      <c r="I10" s="20">
        <f>IF(COUNTBLANK(G10)=1,"Não executado",IF(ISNUMBER(F10)&lt;&gt;ISNUMBER(G10),"Tipo incompatível",IF(IF(E10="&lt;&gt;",G10&lt;&gt;F10,G10=F10),IF(OR(J10="",K10="",NOT(ISNUMBER(L10)),L10&lt;=0),"Evidência pendente","Compatível"),"Divergente")))</f>
        <v/>
      </c>
      <c r="J10" s="23" t="inlineStr">
        <is>
          <t>etapa6-koper/evidencias/integracao.json; comparacao-CT01-CT26.json — banco/importação, sem aceite financeiro</t>
        </is>
      </c>
      <c r="K10" s="23" t="inlineStr">
        <is>
          <t>Codex — execução automatizada isolada</t>
        </is>
      </c>
      <c r="L10" s="31" t="n">
        <v>46316.72234480324</v>
      </c>
      <c r="M10" s="20" t="inlineStr">
        <is>
          <t>Importação repetida e arquivos de cobertura parcial</t>
        </is>
      </c>
      <c r="N10" s="20" t="inlineStr">
        <is>
          <t>{"organization_id": "ORG_A", "source": "KOPER_TEST", "currency": "BRL", "titles": [{"external_id": "77", "installment": 1, "principal_cents": 1000000}, {"external_id": "78", "installment": 1, "principal_cents": 2000000}], "same_file_import_count": 3, "later_partial_snapshot_ids": ["77"]}</t>
        </is>
      </c>
      <c r="O10" s="20" t="inlineStr">
        <is>
          <t>Importar o mesmo arquivo três vezes.
Importar depois um arquivo declarado parcial que contenha apenas o ID 77, sem cancelamento do ID 78.</t>
        </is>
      </c>
      <c r="P10" s="20" t="inlineStr">
        <is>
          <t>10.000,00 + 20.000,00 = 30.000,00, após cada repetição. O arquivo parcial posterior não reduz 30.000,00 para 10.000,00.</t>
        </is>
      </c>
      <c r="Q10" s="20" t="inlineStr">
        <is>
          <t>Fonte com IDs estáveis e natureza de obrigação comprovada. Não há pagamentos.
Mesma chave organização + origem + tipo + ID externo + parcela não cria outra obrigação.
Manifestos de todas as tentativas permanecem rastreáveis. A ausência em recorte parcial não cria cancelamento.</t>
        </is>
      </c>
    </row>
    <row r="11" ht="42" customHeight="1">
      <c r="A11" s="16" t="inlineStr">
        <is>
          <t>CT01</t>
        </is>
      </c>
      <c r="B11" s="16" t="inlineStr">
        <is>
          <t>I03_open_payables_cents</t>
        </is>
      </c>
      <c r="C11" s="16" t="inlineStr">
        <is>
          <t>§4, §14 item 1, I03, I22</t>
        </is>
      </c>
      <c r="D11" s="16" t="inlineStr">
        <is>
          <t>centavos BRL</t>
        </is>
      </c>
      <c r="E11" s="16" t="inlineStr">
        <is>
          <t>=</t>
        </is>
      </c>
      <c r="F11" s="32" t="n">
        <v>3000000</v>
      </c>
      <c r="G11" s="33" t="n">
        <v>3000000</v>
      </c>
      <c r="H11" s="32">
        <f>IF(AND(ISNUMBER(F11),ISNUMBER(G11)),G11-F11,"")</f>
        <v/>
      </c>
      <c r="I11" s="16">
        <f>IF(COUNTBLANK(G11)=1,"Não executado",IF(ISNUMBER(F11)&lt;&gt;ISNUMBER(G11),"Tipo incompatível",IF(IF(E11="&lt;&gt;",G11&lt;&gt;F11,G11=F11),IF(OR(J11="",K11="",NOT(ISNUMBER(L11)),L11&lt;=0),"Evidência pendente","Compatível"),"Divergente")))</f>
        <v/>
      </c>
      <c r="J11" s="12" t="inlineStr">
        <is>
          <t>etapa6-koper/evidencias/integracao.json; comparacao-CT01-CT26.json — banco/importação, sem aceite financeiro</t>
        </is>
      </c>
      <c r="K11" s="12" t="inlineStr">
        <is>
          <t>Codex — execução automatizada isolada</t>
        </is>
      </c>
      <c r="L11" s="28" t="n">
        <v>46316.72234480324</v>
      </c>
      <c r="M11" s="16" t="str"/>
      <c r="N11" s="16" t="str"/>
      <c r="O11" s="16" t="str"/>
      <c r="P11" s="16" t="str"/>
      <c r="Q11" s="16" t="str"/>
    </row>
    <row r="12" ht="42" customHeight="1">
      <c r="A12" s="16" t="inlineStr">
        <is>
          <t>CT01</t>
        </is>
      </c>
      <c r="B12" s="16" t="inlineStr">
        <is>
          <t>extra_obligations_from_retries</t>
        </is>
      </c>
      <c r="C12" s="16" t="inlineStr">
        <is>
          <t>§4, §14 item 1, I03, I22</t>
        </is>
      </c>
      <c r="D12" s="16" t="inlineStr">
        <is>
          <t>número</t>
        </is>
      </c>
      <c r="E12" s="16" t="inlineStr">
        <is>
          <t>=</t>
        </is>
      </c>
      <c r="F12" s="32" t="n">
        <v>0</v>
      </c>
      <c r="G12" s="33" t="n">
        <v>0</v>
      </c>
      <c r="H12" s="32">
        <f>IF(AND(ISNUMBER(F12),ISNUMBER(G12)),G12-F12,"")</f>
        <v/>
      </c>
      <c r="I12" s="16">
        <f>IF(COUNTBLANK(G12)=1,"Não executado",IF(ISNUMBER(F12)&lt;&gt;ISNUMBER(G12),"Tipo incompatível",IF(IF(E12="&lt;&gt;",G12&lt;&gt;F12,G12=F12),IF(OR(J12="",K12="",NOT(ISNUMBER(L12)),L12&lt;=0),"Evidência pendente","Compatível"),"Divergente")))</f>
        <v/>
      </c>
      <c r="J12" s="12" t="inlineStr">
        <is>
          <t>etapa6-koper/evidencias/integracao.json; comparacao-CT01-CT26.json — banco/importação, sem aceite financeiro</t>
        </is>
      </c>
      <c r="K12" s="12" t="inlineStr">
        <is>
          <t>Codex — execução automatizada isolada</t>
        </is>
      </c>
      <c r="L12" s="28" t="n">
        <v>46316.72234480324</v>
      </c>
      <c r="M12" s="16" t="str"/>
      <c r="N12" s="16" t="str"/>
      <c r="O12" s="16" t="str"/>
      <c r="P12" s="16" t="str"/>
      <c r="Q12" s="16" t="str"/>
    </row>
    <row r="13" ht="42" customHeight="1">
      <c r="A13" s="16" t="inlineStr">
        <is>
          <t>CT01</t>
        </is>
      </c>
      <c r="B13" s="16" t="inlineStr">
        <is>
          <t>title_78_remains_open_cents</t>
        </is>
      </c>
      <c r="C13" s="16" t="inlineStr">
        <is>
          <t>§4, §14 item 1, I03, I22</t>
        </is>
      </c>
      <c r="D13" s="16" t="inlineStr">
        <is>
          <t>centavos BRL</t>
        </is>
      </c>
      <c r="E13" s="16" t="inlineStr">
        <is>
          <t>=</t>
        </is>
      </c>
      <c r="F13" s="32" t="n">
        <v>2000000</v>
      </c>
      <c r="G13" s="33" t="n">
        <v>2000000</v>
      </c>
      <c r="H13" s="32">
        <f>IF(AND(ISNUMBER(F13),ISNUMBER(G13)),G13-F13,"")</f>
        <v/>
      </c>
      <c r="I13" s="16">
        <f>IF(COUNTBLANK(G13)=1,"Não executado",IF(ISNUMBER(F13)&lt;&gt;ISNUMBER(G13),"Tipo incompatível",IF(IF(E13="&lt;&gt;",G13&lt;&gt;F13,G13=F13),IF(OR(J13="",K13="",NOT(ISNUMBER(L13)),L13&lt;=0),"Evidência pendente","Compatível"),"Divergente")))</f>
        <v/>
      </c>
      <c r="J13" s="12" t="inlineStr">
        <is>
          <t>etapa6-koper/evidencias/integracao.json; comparacao-CT01-CT26.json — banco/importação, sem aceite financeiro</t>
        </is>
      </c>
      <c r="K13" s="12" t="inlineStr">
        <is>
          <t>Codex — execução automatizada isolada</t>
        </is>
      </c>
      <c r="L13" s="28" t="n">
        <v>46316.72234480324</v>
      </c>
      <c r="M13" s="16" t="str"/>
      <c r="N13" s="16" t="str"/>
      <c r="O13" s="16" t="str"/>
      <c r="P13" s="16" t="str"/>
      <c r="Q13" s="16" t="str"/>
    </row>
    <row r="14" ht="42" customHeight="1">
      <c r="A14" s="16" t="inlineStr">
        <is>
          <t>CT01</t>
        </is>
      </c>
      <c r="B14" s="16" t="inlineStr">
        <is>
          <t>deletions_due_to_absence</t>
        </is>
      </c>
      <c r="C14" s="16" t="inlineStr">
        <is>
          <t>§4, §14 item 1, I03, I22</t>
        </is>
      </c>
      <c r="D14" s="16" t="inlineStr">
        <is>
          <t>número</t>
        </is>
      </c>
      <c r="E14" s="16" t="inlineStr">
        <is>
          <t>=</t>
        </is>
      </c>
      <c r="F14" s="32" t="n">
        <v>0</v>
      </c>
      <c r="G14" s="33" t="n">
        <v>0</v>
      </c>
      <c r="H14" s="32">
        <f>IF(AND(ISNUMBER(F14),ISNUMBER(G14)),G14-F14,"")</f>
        <v/>
      </c>
      <c r="I14" s="16">
        <f>IF(COUNTBLANK(G14)=1,"Não executado",IF(ISNUMBER(F14)&lt;&gt;ISNUMBER(G14),"Tipo incompatível",IF(IF(E14="&lt;&gt;",G14&lt;&gt;F14,G14=F14),IF(OR(J14="",K14="",NOT(ISNUMBER(L14)),L14&lt;=0),"Evidência pendente","Compatível"),"Divergente")))</f>
        <v/>
      </c>
      <c r="J14" s="12" t="inlineStr">
        <is>
          <t>etapa6-koper/evidencias/integracao.json; comparacao-CT01-CT26.json — banco/importação, sem aceite financeiro</t>
        </is>
      </c>
      <c r="K14" s="12" t="inlineStr">
        <is>
          <t>Codex — execução automatizada isolada</t>
        </is>
      </c>
      <c r="L14" s="28" t="n">
        <v>46316.72234480324</v>
      </c>
      <c r="M14" s="16" t="str"/>
      <c r="N14" s="16" t="str"/>
      <c r="O14" s="16" t="str"/>
      <c r="P14" s="16" t="str"/>
      <c r="Q14" s="16" t="str"/>
    </row>
    <row r="15" ht="112" customHeight="1">
      <c r="A15" s="20" t="inlineStr">
        <is>
          <t>CT02</t>
        </is>
      </c>
      <c r="B15" s="20" t="inlineStr">
        <is>
          <t>canonical_title_count</t>
        </is>
      </c>
      <c r="C15" s="20" t="inlineStr">
        <is>
          <t>§3, §4, §10, I03</t>
        </is>
      </c>
      <c r="D15" s="20" t="inlineStr">
        <is>
          <t>número</t>
        </is>
      </c>
      <c r="E15" s="20" t="inlineStr">
        <is>
          <t>=</t>
        </is>
      </c>
      <c r="F15" s="29" t="n">
        <v>1</v>
      </c>
      <c r="G15" s="30" t="n"/>
      <c r="H15" s="29">
        <f>IF(AND(ISNUMBER(F15),ISNUMBER(G15)),G15-F15,"")</f>
        <v/>
      </c>
      <c r="I15" s="20">
        <f>IF(COUNTBLANK(G15)=1,"Não executado",IF(ISNUMBER(F15)&lt;&gt;ISNUMBER(G15),"Tipo incompatível",IF(IF(E15="&lt;&gt;",G15&lt;&gt;F15,G15=F15),IF(OR(J15="",K15="",NOT(ISNUMBER(L15)),L15&lt;=0),"Evidência pendente","Compatível"),"Divergente")))</f>
        <v/>
      </c>
      <c r="J15" s="23" t="str"/>
      <c r="K15" s="23" t="str"/>
      <c r="L15" s="31" t="n"/>
      <c r="M15" s="20" t="inlineStr">
        <is>
          <t>Nova versão do mesmo título e preservação do corte histórico</t>
        </is>
      </c>
      <c r="N15" s="20" t="inlineStr">
        <is>
          <t>{"key": ["ORG_A", "KOPER_TEST", "AP", "77", 1], "original_principal_cents": 1000000, "adjustment_cents": 200000, "effective_date": "2026-10-20", "original_known_at": "2026-10-19T18: 00: 00-03: 00", "revision_known_at": "2026-10-21T09: 00: 00-03: 00"}</t>
        </is>
      </c>
      <c r="O15" s="20" t="inlineStr">
        <is>
          <t>Carregar versão original.
Carregar revisão do mesmo ID com acréscimo autorizado.
Consultar T=19/10, K original, e T=21/10, K revisado.
Consultar ainda o mesmo T=21/10 com K=20/10 antes do registro da revisão: saldo deve continuar R$ 10.000.</t>
        </is>
      </c>
      <c r="P15" s="20" t="inlineStr">
        <is>
          <t>Versão revisada: 10.000,00 + 2.000,00 = 12.000,00. A dívida nunca é 10.000,00 + 12.000,00.</t>
        </is>
      </c>
      <c r="Q15" s="20" t="inlineStr">
        <is>
          <t>Alteração de 2.000,00 tem suporte documental válido, vigência em 20/10 e período aberto. Não é simples divergência não validada.
Histórico de valores, origem e aprovação permanece consultável.
Se a mudança não tiver suporte, conservar exceção em vez de validar os 12.000,00 automaticamente.
{"path":"revised_snapshot_open_cents","operator":"not_equal","forbidden_value":2200000}</t>
        </is>
      </c>
    </row>
    <row r="16" ht="42" customHeight="1">
      <c r="A16" s="16" t="inlineStr">
        <is>
          <t>CT02</t>
        </is>
      </c>
      <c r="B16" s="16" t="inlineStr">
        <is>
          <t>original_snapshot_open_cents</t>
        </is>
      </c>
      <c r="C16" s="16" t="inlineStr">
        <is>
          <t>§3, §4, §10, I03</t>
        </is>
      </c>
      <c r="D16" s="16" t="inlineStr">
        <is>
          <t>centavos BRL</t>
        </is>
      </c>
      <c r="E16" s="16" t="inlineStr">
        <is>
          <t>=</t>
        </is>
      </c>
      <c r="F16" s="32" t="n">
        <v>1000000</v>
      </c>
      <c r="G16" s="33" t="n"/>
      <c r="H16" s="32">
        <f>IF(AND(ISNUMBER(F16),ISNUMBER(G16)),G16-F16,"")</f>
        <v/>
      </c>
      <c r="I16" s="16">
        <f>IF(COUNTBLANK(G16)=1,"Não executado",IF(ISNUMBER(F16)&lt;&gt;ISNUMBER(G16),"Tipo incompatível",IF(IF(E16="&lt;&gt;",G16&lt;&gt;F16,G16=F16),IF(OR(J16="",K16="",NOT(ISNUMBER(L16)),L16&lt;=0),"Evidência pendente","Compatível"),"Divergente")))</f>
        <v/>
      </c>
      <c r="J16" s="12" t="str"/>
      <c r="K16" s="12" t="str"/>
      <c r="L16" s="28" t="n"/>
      <c r="M16" s="16" t="str"/>
      <c r="N16" s="16" t="str"/>
      <c r="O16" s="16" t="str"/>
      <c r="P16" s="16" t="str"/>
      <c r="Q16" s="16" t="str"/>
    </row>
    <row r="17" ht="42" customHeight="1">
      <c r="A17" s="16" t="inlineStr">
        <is>
          <t>CT02</t>
        </is>
      </c>
      <c r="B17" s="16" t="inlineStr">
        <is>
          <t>revised_snapshot_open_cents</t>
        </is>
      </c>
      <c r="C17" s="16" t="inlineStr">
        <is>
          <t>§3, §4, §10, I03</t>
        </is>
      </c>
      <c r="D17" s="16" t="inlineStr">
        <is>
          <t>centavos BRL</t>
        </is>
      </c>
      <c r="E17" s="16" t="inlineStr">
        <is>
          <t>=</t>
        </is>
      </c>
      <c r="F17" s="32" t="n">
        <v>1200000</v>
      </c>
      <c r="G17" s="33" t="n"/>
      <c r="H17" s="32">
        <f>IF(AND(ISNUMBER(F17),ISNUMBER(G17)),G17-F17,"")</f>
        <v/>
      </c>
      <c r="I17" s="16">
        <f>IF(COUNTBLANK(G17)=1,"Não executado",IF(ISNUMBER(F17)&lt;&gt;ISNUMBER(G17),"Tipo incompatível",IF(IF(E17="&lt;&gt;",G17&lt;&gt;F17,G17=F17),IF(OR(J17="",K17="",NOT(ISNUMBER(L17)),L17&lt;=0),"Evidência pendente","Compatível"),"Divergente")))</f>
        <v/>
      </c>
      <c r="J17" s="12" t="str"/>
      <c r="K17" s="12" t="str"/>
      <c r="L17" s="28" t="n"/>
      <c r="M17" s="16" t="str"/>
      <c r="N17" s="16" t="str"/>
      <c r="O17" s="16" t="str"/>
      <c r="P17" s="16" t="str"/>
      <c r="Q17" s="16" t="str"/>
    </row>
    <row r="18" ht="42" customHeight="1">
      <c r="A18" s="16" t="inlineStr">
        <is>
          <t>CT02</t>
        </is>
      </c>
      <c r="B18" s="16" t="inlineStr">
        <is>
          <t>documented_bridge_cents</t>
        </is>
      </c>
      <c r="C18" s="16" t="inlineStr">
        <is>
          <t>§3, §4, §10, I03</t>
        </is>
      </c>
      <c r="D18" s="16" t="inlineStr">
        <is>
          <t>centavos BRL</t>
        </is>
      </c>
      <c r="E18" s="16" t="inlineStr">
        <is>
          <t>=</t>
        </is>
      </c>
      <c r="F18" s="32" t="n">
        <v>200000</v>
      </c>
      <c r="G18" s="33" t="n"/>
      <c r="H18" s="32">
        <f>IF(AND(ISNUMBER(F18),ISNUMBER(G18)),G18-F18,"")</f>
        <v/>
      </c>
      <c r="I18" s="16">
        <f>IF(COUNTBLANK(G18)=1,"Não executado",IF(ISNUMBER(F18)&lt;&gt;ISNUMBER(G18),"Tipo incompatível",IF(IF(E18="&lt;&gt;",G18&lt;&gt;F18,G18=F18),IF(OR(J18="",K18="",NOT(ISNUMBER(L18)),L18&lt;=0),"Evidência pendente","Compatível"),"Divergente")))</f>
        <v/>
      </c>
      <c r="J18" s="12" t="str"/>
      <c r="K18" s="12" t="str"/>
      <c r="L18" s="28" t="n"/>
      <c r="M18" s="16" t="str"/>
      <c r="N18" s="16" t="str"/>
      <c r="O18" s="16" t="str"/>
      <c r="P18" s="16" t="str"/>
      <c r="Q18" s="16" t="str"/>
    </row>
    <row r="19" ht="42" customHeight="1">
      <c r="A19" s="16" t="inlineStr">
        <is>
          <t>CT02</t>
        </is>
      </c>
      <c r="B19" s="16" t="inlineStr">
        <is>
          <t>at_T_2026_10_21_K_2026_10_20_open_cents</t>
        </is>
      </c>
      <c r="C19" s="16" t="inlineStr">
        <is>
          <t>§3, §4, §10, I03</t>
        </is>
      </c>
      <c r="D19" s="16" t="inlineStr">
        <is>
          <t>centavos BRL</t>
        </is>
      </c>
      <c r="E19" s="16" t="inlineStr">
        <is>
          <t>=</t>
        </is>
      </c>
      <c r="F19" s="32" t="n">
        <v>1000000</v>
      </c>
      <c r="G19" s="33" t="n"/>
      <c r="H19" s="32">
        <f>IF(AND(ISNUMBER(F19),ISNUMBER(G19)),G19-F19,"")</f>
        <v/>
      </c>
      <c r="I19" s="16">
        <f>IF(COUNTBLANK(G19)=1,"Não executado",IF(ISNUMBER(F19)&lt;&gt;ISNUMBER(G19),"Tipo incompatível",IF(IF(E19="&lt;&gt;",G19&lt;&gt;F19,G19=F19),IF(OR(J19="",K19="",NOT(ISNUMBER(L19)),L19&lt;=0),"Evidência pendente","Compatível"),"Divergente")))</f>
        <v/>
      </c>
      <c r="J19" s="12" t="str"/>
      <c r="K19" s="12" t="str"/>
      <c r="L19" s="28" t="n"/>
      <c r="M19" s="16" t="str"/>
      <c r="N19" s="16" t="str"/>
      <c r="O19" s="16" t="str"/>
      <c r="P19" s="16" t="str"/>
      <c r="Q19" s="16" t="str"/>
    </row>
    <row r="20" ht="112" customHeight="1">
      <c r="A20" s="20" t="inlineStr">
        <is>
          <t>CT03</t>
        </is>
      </c>
      <c r="B20" s="20" t="inlineStr">
        <is>
          <t>after_P1_open_cents</t>
        </is>
      </c>
      <c r="C20" s="20" t="inlineStr">
        <is>
          <t>§5, §8.1, I02, I03</t>
        </is>
      </c>
      <c r="D20" s="20" t="inlineStr">
        <is>
          <t>centavos BRL</t>
        </is>
      </c>
      <c r="E20" s="20" t="inlineStr">
        <is>
          <t>=</t>
        </is>
      </c>
      <c r="F20" s="29" t="n">
        <v>700000</v>
      </c>
      <c r="G20" s="30" t="n"/>
      <c r="H20" s="29">
        <f>IF(AND(ISNUMBER(F20),ISNUMBER(G20)),G20-F20,"")</f>
        <v/>
      </c>
      <c r="I20" s="20">
        <f>IF(COUNTBLANK(G20)=1,"Não executado",IF(ISNUMBER(F20)&lt;&gt;ISNUMBER(G20),"Tipo incompatível",IF(IF(E20="&lt;&gt;",G20&lt;&gt;F20,G20=F20),IF(OR(J20="",K20="",NOT(ISNUMBER(L20)),L20&lt;=0),"Evidência pendente","Compatível"),"Divergente")))</f>
        <v/>
      </c>
      <c r="J20" s="23" t="str"/>
      <c r="K20" s="23" t="str"/>
      <c r="L20" s="31" t="n"/>
      <c r="M20" s="20" t="inlineStr">
        <is>
          <t>Pagamento parcial e conciliação posterior sem novo caixa</t>
        </is>
      </c>
      <c r="N20" s="20" t="inlineStr">
        <is>
          <t>{"principal_cents": 1000000, "payments": [{"id": "P1", "cash_cents": 300000, "date": "2026-10-15"}, {"id": "P2", "cash_cents": 200000, "date": "2026-10-20"}], "bank_transaction_ids": ["BANK1", "BANK2"]}</t>
        </is>
      </c>
      <c r="O20" s="20" t="inlineStr">
        <is>
          <t>Efetivar P1.
Efetivar P2.
Conciliar P1 e P2 aos dois débitos já existentes e reimportar o extrato.</t>
        </is>
      </c>
      <c r="P20" s="20" t="inlineStr">
        <is>
          <t>Saldo: 10.000,00 − 3.000,00 − 2.000,00 = 5.000,00. Caixa: 3.000,00 + 2.000,00 = 5.000,00.</t>
        </is>
      </c>
      <c r="Q20" s="20" t="inlineStr">
        <is>
          <t>D06: baixa aplicada integralmente ao principal, sem encargos, com extrato e evidência.
A conciliação apenas acrescenta evidência e vínculo.
O custo reconhecido antes do pagamento permanece com o mesmo valor.</t>
        </is>
      </c>
    </row>
    <row r="21" ht="42" customHeight="1">
      <c r="A21" s="16" t="inlineStr">
        <is>
          <t>CT03</t>
        </is>
      </c>
      <c r="B21" s="16" t="inlineStr">
        <is>
          <t>after_P2_open_cents</t>
        </is>
      </c>
      <c r="C21" s="16" t="inlineStr">
        <is>
          <t>§5, §8.1, I02, I03</t>
        </is>
      </c>
      <c r="D21" s="16" t="inlineStr">
        <is>
          <t>centavos BRL</t>
        </is>
      </c>
      <c r="E21" s="16" t="inlineStr">
        <is>
          <t>=</t>
        </is>
      </c>
      <c r="F21" s="32" t="n">
        <v>500000</v>
      </c>
      <c r="G21" s="33" t="n"/>
      <c r="H21" s="32">
        <f>IF(AND(ISNUMBER(F21),ISNUMBER(G21)),G21-F21,"")</f>
        <v/>
      </c>
      <c r="I21" s="16">
        <f>IF(COUNTBLANK(G21)=1,"Não executado",IF(ISNUMBER(F21)&lt;&gt;ISNUMBER(G21),"Tipo incompatível",IF(IF(E21="&lt;&gt;",G21&lt;&gt;F21,G21=F21),IF(OR(J21="",K21="",NOT(ISNUMBER(L21)),L21&lt;=0),"Evidência pendente","Compatível"),"Divergente")))</f>
        <v/>
      </c>
      <c r="J21" s="12" t="str"/>
      <c r="K21" s="12" t="str"/>
      <c r="L21" s="28" t="n"/>
      <c r="M21" s="16" t="str"/>
      <c r="N21" s="16" t="str"/>
      <c r="O21" s="16" t="str"/>
      <c r="P21" s="16" t="str"/>
      <c r="Q21" s="16" t="str"/>
    </row>
    <row r="22" ht="42" customHeight="1">
      <c r="A22" s="16" t="inlineStr">
        <is>
          <t>CT03</t>
        </is>
      </c>
      <c r="B22" s="16" t="inlineStr">
        <is>
          <t>I02_gross_disbursed_cents</t>
        </is>
      </c>
      <c r="C22" s="16" t="inlineStr">
        <is>
          <t>§5, §8.1, I02, I03</t>
        </is>
      </c>
      <c r="D22" s="16" t="inlineStr">
        <is>
          <t>centavos BRL</t>
        </is>
      </c>
      <c r="E22" s="16" t="inlineStr">
        <is>
          <t>=</t>
        </is>
      </c>
      <c r="F22" s="32" t="n">
        <v>500000</v>
      </c>
      <c r="G22" s="33" t="n"/>
      <c r="H22" s="32">
        <f>IF(AND(ISNUMBER(F22),ISNUMBER(G22)),G22-F22,"")</f>
        <v/>
      </c>
      <c r="I22" s="16">
        <f>IF(COUNTBLANK(G22)=1,"Não executado",IF(ISNUMBER(F22)&lt;&gt;ISNUMBER(G22),"Tipo incompatível",IF(IF(E22="&lt;&gt;",G22&lt;&gt;F22,G22=F22),IF(OR(J22="",K22="",NOT(ISNUMBER(L22)),L22&lt;=0),"Evidência pendente","Compatível"),"Divergente")))</f>
        <v/>
      </c>
      <c r="J22" s="12" t="str"/>
      <c r="K22" s="12" t="str"/>
      <c r="L22" s="28" t="n"/>
      <c r="M22" s="16" t="str"/>
      <c r="N22" s="16" t="str"/>
      <c r="O22" s="16" t="str"/>
      <c r="P22" s="16" t="str"/>
      <c r="Q22" s="16" t="str"/>
    </row>
    <row r="23" ht="42" customHeight="1">
      <c r="A23" s="16" t="inlineStr">
        <is>
          <t>CT03</t>
        </is>
      </c>
      <c r="B23" s="16" t="inlineStr">
        <is>
          <t>bank_debit_count</t>
        </is>
      </c>
      <c r="C23" s="16" t="inlineStr">
        <is>
          <t>§5, §8.1, I02, I03</t>
        </is>
      </c>
      <c r="D23" s="16" t="inlineStr">
        <is>
          <t>número</t>
        </is>
      </c>
      <c r="E23" s="16" t="inlineStr">
        <is>
          <t>=</t>
        </is>
      </c>
      <c r="F23" s="32" t="n">
        <v>2</v>
      </c>
      <c r="G23" s="33" t="n"/>
      <c r="H23" s="32">
        <f>IF(AND(ISNUMBER(F23),ISNUMBER(G23)),G23-F23,"")</f>
        <v/>
      </c>
      <c r="I23" s="16">
        <f>IF(COUNTBLANK(G23)=1,"Não executado",IF(ISNUMBER(F23)&lt;&gt;ISNUMBER(G23),"Tipo incompatível",IF(IF(E23="&lt;&gt;",G23&lt;&gt;F23,G23=F23),IF(OR(J23="",K23="",NOT(ISNUMBER(L23)),L23&lt;=0),"Evidência pendente","Compatível"),"Divergente")))</f>
        <v/>
      </c>
      <c r="J23" s="12" t="str"/>
      <c r="K23" s="12" t="str"/>
      <c r="L23" s="28" t="n"/>
      <c r="M23" s="16" t="str"/>
      <c r="N23" s="16" t="str"/>
      <c r="O23" s="16" t="str"/>
      <c r="P23" s="16" t="str"/>
      <c r="Q23" s="16" t="str"/>
    </row>
    <row r="24" ht="42" customHeight="1">
      <c r="A24" s="16" t="inlineStr">
        <is>
          <t>CT03</t>
        </is>
      </c>
      <c r="B24" s="16" t="inlineStr">
        <is>
          <t>payment_count</t>
        </is>
      </c>
      <c r="C24" s="16" t="inlineStr">
        <is>
          <t>§5, §8.1, I02, I03</t>
        </is>
      </c>
      <c r="D24" s="16" t="inlineStr">
        <is>
          <t>número</t>
        </is>
      </c>
      <c r="E24" s="16" t="inlineStr">
        <is>
          <t>=</t>
        </is>
      </c>
      <c r="F24" s="32" t="n">
        <v>2</v>
      </c>
      <c r="G24" s="33" t="n"/>
      <c r="H24" s="32">
        <f>IF(AND(ISNUMBER(F24),ISNUMBER(G24)),G24-F24,"")</f>
        <v/>
      </c>
      <c r="I24" s="16">
        <f>IF(COUNTBLANK(G24)=1,"Não executado",IF(ISNUMBER(F24)&lt;&gt;ISNUMBER(G24),"Tipo incompatível",IF(IF(E24="&lt;&gt;",G24&lt;&gt;F24,G24=F24),IF(OR(J24="",K24="",NOT(ISNUMBER(L24)),L24&lt;=0),"Evidência pendente","Compatível"),"Divergente")))</f>
        <v/>
      </c>
      <c r="J24" s="12" t="str"/>
      <c r="K24" s="12" t="str"/>
      <c r="L24" s="28" t="n"/>
      <c r="M24" s="16" t="str"/>
      <c r="N24" s="16" t="str"/>
      <c r="O24" s="16" t="str"/>
      <c r="P24" s="16" t="str"/>
      <c r="Q24" s="16" t="str"/>
    </row>
    <row r="25" ht="42" customHeight="1">
      <c r="A25" s="16" t="inlineStr">
        <is>
          <t>CT03</t>
        </is>
      </c>
      <c r="B25" s="16" t="inlineStr">
        <is>
          <t>cash_created_by_reconciliation_cents</t>
        </is>
      </c>
      <c r="C25" s="16" t="inlineStr">
        <is>
          <t>§5, §8.1, I02, I03</t>
        </is>
      </c>
      <c r="D25" s="16" t="inlineStr">
        <is>
          <t>centavos BRL</t>
        </is>
      </c>
      <c r="E25" s="16" t="inlineStr">
        <is>
          <t>=</t>
        </is>
      </c>
      <c r="F25" s="32" t="n">
        <v>0</v>
      </c>
      <c r="G25" s="33" t="n"/>
      <c r="H25" s="32">
        <f>IF(AND(ISNUMBER(F25),ISNUMBER(G25)),G25-F25,"")</f>
        <v/>
      </c>
      <c r="I25" s="16">
        <f>IF(COUNTBLANK(G25)=1,"Não executado",IF(ISNUMBER(F25)&lt;&gt;ISNUMBER(G25),"Tipo incompatível",IF(IF(E25="&lt;&gt;",G25&lt;&gt;F25,G25=F25),IF(OR(J25="",K25="",NOT(ISNUMBER(L25)),L25&lt;=0),"Evidência pendente","Compatível"),"Divergente")))</f>
        <v/>
      </c>
      <c r="J25" s="12" t="str"/>
      <c r="K25" s="12" t="str"/>
      <c r="L25" s="28" t="n"/>
      <c r="M25" s="16" t="str"/>
      <c r="N25" s="16" t="str"/>
      <c r="O25" s="16" t="str"/>
      <c r="P25" s="16" t="str"/>
      <c r="Q25" s="16" t="str"/>
    </row>
    <row r="26" ht="42" customHeight="1">
      <c r="A26" s="16" t="inlineStr">
        <is>
          <t>CT03</t>
        </is>
      </c>
      <c r="B26" s="16" t="inlineStr">
        <is>
          <t>I01_extra_cost_created_by_payments_cents</t>
        </is>
      </c>
      <c r="C26" s="16" t="inlineStr">
        <is>
          <t>§5, §8.1, I02, I03</t>
        </is>
      </c>
      <c r="D26" s="16" t="inlineStr">
        <is>
          <t>centavos BRL</t>
        </is>
      </c>
      <c r="E26" s="16" t="inlineStr">
        <is>
          <t>=</t>
        </is>
      </c>
      <c r="F26" s="32" t="n">
        <v>0</v>
      </c>
      <c r="G26" s="33" t="n"/>
      <c r="H26" s="32">
        <f>IF(AND(ISNUMBER(F26),ISNUMBER(G26)),G26-F26,"")</f>
        <v/>
      </c>
      <c r="I26" s="16">
        <f>IF(COUNTBLANK(G26)=1,"Não executado",IF(ISNUMBER(F26)&lt;&gt;ISNUMBER(G26),"Tipo incompatível",IF(IF(E26="&lt;&gt;",G26&lt;&gt;F26,G26=F26),IF(OR(J26="",K26="",NOT(ISNUMBER(L26)),L26&lt;=0),"Evidência pendente","Compatível"),"Divergente")))</f>
        <v/>
      </c>
      <c r="J26" s="12" t="str"/>
      <c r="K26" s="12" t="str"/>
      <c r="L26" s="28" t="n"/>
      <c r="M26" s="16" t="str"/>
      <c r="N26" s="16" t="str"/>
      <c r="O26" s="16" t="str"/>
      <c r="P26" s="16" t="str"/>
      <c r="Q26" s="16" t="str"/>
    </row>
    <row r="27" ht="112" customHeight="1">
      <c r="A27" s="20" t="inlineStr">
        <is>
          <t>CT04</t>
        </is>
      </c>
      <c r="B27" s="20" t="inlineStr">
        <is>
          <t>date_fixture.september_cost_cents</t>
        </is>
      </c>
      <c r="C27" s="20" t="inlineStr">
        <is>
          <t>§3, I01, I02, I06, I07</t>
        </is>
      </c>
      <c r="D27" s="20" t="inlineStr">
        <is>
          <t>centavos BRL</t>
        </is>
      </c>
      <c r="E27" s="20" t="inlineStr">
        <is>
          <t>=</t>
        </is>
      </c>
      <c r="F27" s="29" t="n">
        <v>1000000</v>
      </c>
      <c r="G27" s="30" t="n"/>
      <c r="H27" s="29">
        <f>IF(AND(ISNUMBER(F27),ISNUMBER(G27)),G27-F27,"")</f>
        <v/>
      </c>
      <c r="I27" s="20">
        <f>IF(COUNTBLANK(G27)=1,"Não executado",IF(ISNUMBER(F27)&lt;&gt;ISNUMBER(G27),"Tipo incompatível",IF(IF(E27="&lt;&gt;",G27&lt;&gt;F27,G27=F27),IF(OR(J27="",K27="",NOT(ISNUMBER(L27)),L27&lt;=0),"Evidência pendente","Compatível"),"Divergente")))</f>
        <v/>
      </c>
      <c r="J27" s="23" t="str"/>
      <c r="K27" s="23" t="str"/>
      <c r="L27" s="31" t="n"/>
      <c r="M27" s="20" t="inlineStr">
        <is>
          <t>Competência emissão vencimento caixa conciliação e limites de horizonte</t>
        </is>
      </c>
      <c r="N27" s="20" t="inlineStr">
        <is>
          <t>{"date_fixture": {"amount_cents": 1000000, "competence": "2026-09", "issued": "2026-10-05", "due": "2026-10-20", "paid": "2026-10-22", "bank_date": "2026-10-22", "reconciled": "2026-10-24"}, "separate_bucket_fixture": {"cutoff": "2026-10-21", "amounts_cents_by_due": {"2026-10-20": 100000, "2026-10-21": 200000, "2026-11-20": 300000, "2026-11-21": 400000, "2027-01-19": 500000, "2027-01-20": 600000, "unknown": 700000}}}</t>
        </is>
      </c>
      <c r="O27" s="20" t="inlineStr">
        <is>
          <t>Consultar o primeiro fixture em 21/10 e após a conciliação de 24/10.
Consultar o segundo fixture, independente do primeiro, com horizontes de 30 e 90 dias.</t>
        </is>
      </c>
      <c r="P27" s="20" t="inlineStr">
        <is>
          <t>T+30 = 20/11/2026; T+90 = 19/01/2027. Próximos 90 dias: 3.000,00 + 4.000,00 + 5.000,00 = 12.000,00.
Necessidade imediata em 30 dias: vencidos 1.000,00 + hoje 2.000,00 + futuros 3.000,00 = 6.000,00. Não somar a janela de 30 dias à de 90.</t>
        </is>
      </c>
      <c r="Q27" s="20" t="inlineStr">
        <is>
          <t>D02: America/Sao_Paulo, corte ao fim do dia; vencimento anterior ao corte é vencido. Dias corridos nestas datas fictícias. D03: serviço aceito. D06: caixa na data bancária.
Os dois fixtures têm populações independentes e não devem ser somados.
A conciliação em 24/10 não desloca o caixa do dia 22. Valor sem vencimento fica em faixa própria.</t>
        </is>
      </c>
    </row>
    <row r="28" ht="42" customHeight="1">
      <c r="A28" s="16" t="inlineStr">
        <is>
          <t>CT04</t>
        </is>
      </c>
      <c r="B28" s="16" t="inlineStr">
        <is>
          <t>date_fixture.open_at_2026_10_21_cents</t>
        </is>
      </c>
      <c r="C28" s="16" t="inlineStr">
        <is>
          <t>§3, I01, I02, I06, I07</t>
        </is>
      </c>
      <c r="D28" s="16" t="inlineStr">
        <is>
          <t>centavos BRL</t>
        </is>
      </c>
      <c r="E28" s="16" t="inlineStr">
        <is>
          <t>=</t>
        </is>
      </c>
      <c r="F28" s="32" t="n">
        <v>1000000</v>
      </c>
      <c r="G28" s="33" t="n"/>
      <c r="H28" s="32">
        <f>IF(AND(ISNUMBER(F28),ISNUMBER(G28)),G28-F28,"")</f>
        <v/>
      </c>
      <c r="I28" s="16">
        <f>IF(COUNTBLANK(G28)=1,"Não executado",IF(ISNUMBER(F28)&lt;&gt;ISNUMBER(G28),"Tipo incompatível",IF(IF(E28="&lt;&gt;",G28&lt;&gt;F28,G28=F28),IF(OR(J28="",K28="",NOT(ISNUMBER(L28)),L28&lt;=0),"Evidência pendente","Compatível"),"Divergente")))</f>
        <v/>
      </c>
      <c r="J28" s="12" t="str"/>
      <c r="K28" s="12" t="str"/>
      <c r="L28" s="28" t="n"/>
      <c r="M28" s="16" t="str"/>
      <c r="N28" s="16" t="str"/>
      <c r="O28" s="16" t="str"/>
      <c r="P28" s="16" t="str"/>
      <c r="Q28" s="16" t="str"/>
    </row>
    <row r="29" ht="42" customHeight="1">
      <c r="A29" s="16" t="inlineStr">
        <is>
          <t>CT04</t>
        </is>
      </c>
      <c r="B29" s="16" t="inlineStr">
        <is>
          <t>date_fixture.overdue_at_2026_10_21_cents</t>
        </is>
      </c>
      <c r="C29" s="16" t="inlineStr">
        <is>
          <t>§3, I01, I02, I06, I07</t>
        </is>
      </c>
      <c r="D29" s="16" t="inlineStr">
        <is>
          <t>centavos BRL</t>
        </is>
      </c>
      <c r="E29" s="16" t="inlineStr">
        <is>
          <t>=</t>
        </is>
      </c>
      <c r="F29" s="32" t="n">
        <v>1000000</v>
      </c>
      <c r="G29" s="33" t="n"/>
      <c r="H29" s="32">
        <f>IF(AND(ISNUMBER(F29),ISNUMBER(G29)),G29-F29,"")</f>
        <v/>
      </c>
      <c r="I29" s="16">
        <f>IF(COUNTBLANK(G29)=1,"Não executado",IF(ISNUMBER(F29)&lt;&gt;ISNUMBER(G29),"Tipo incompatível",IF(IF(E29="&lt;&gt;",G29&lt;&gt;F29,G29=F29),IF(OR(J29="",K29="",NOT(ISNUMBER(L29)),L29&lt;=0),"Evidência pendente","Compatível"),"Divergente")))</f>
        <v/>
      </c>
      <c r="J29" s="12" t="str"/>
      <c r="K29" s="12" t="str"/>
      <c r="L29" s="28" t="n"/>
      <c r="M29" s="16" t="str"/>
      <c r="N29" s="16" t="str"/>
      <c r="O29" s="16" t="str"/>
      <c r="P29" s="16" t="str"/>
      <c r="Q29" s="16" t="str"/>
    </row>
    <row r="30" ht="42" customHeight="1">
      <c r="A30" s="16" t="inlineStr">
        <is>
          <t>CT04</t>
        </is>
      </c>
      <c r="B30" s="16" t="inlineStr">
        <is>
          <t>date_fixture.cash_at_2026_10_21_cents</t>
        </is>
      </c>
      <c r="C30" s="16" t="inlineStr">
        <is>
          <t>§3, I01, I02, I06, I07</t>
        </is>
      </c>
      <c r="D30" s="16" t="inlineStr">
        <is>
          <t>centavos BRL</t>
        </is>
      </c>
      <c r="E30" s="16" t="inlineStr">
        <is>
          <t>=</t>
        </is>
      </c>
      <c r="F30" s="32" t="n">
        <v>0</v>
      </c>
      <c r="G30" s="33" t="n"/>
      <c r="H30" s="32">
        <f>IF(AND(ISNUMBER(F30),ISNUMBER(G30)),G30-F30,"")</f>
        <v/>
      </c>
      <c r="I30" s="16">
        <f>IF(COUNTBLANK(G30)=1,"Não executado",IF(ISNUMBER(F30)&lt;&gt;ISNUMBER(G30),"Tipo incompatível",IF(IF(E30="&lt;&gt;",G30&lt;&gt;F30,G30=F30),IF(OR(J30="",K30="",NOT(ISNUMBER(L30)),L30&lt;=0),"Evidência pendente","Compatível"),"Divergente")))</f>
        <v/>
      </c>
      <c r="J30" s="12" t="str"/>
      <c r="K30" s="12" t="str"/>
      <c r="L30" s="28" t="n"/>
      <c r="M30" s="16" t="str"/>
      <c r="N30" s="16" t="str"/>
      <c r="O30" s="16" t="str"/>
      <c r="P30" s="16" t="str"/>
      <c r="Q30" s="16" t="str"/>
    </row>
    <row r="31" ht="42" customHeight="1">
      <c r="A31" s="16" t="inlineStr">
        <is>
          <t>CT04</t>
        </is>
      </c>
      <c r="B31" s="16" t="inlineStr">
        <is>
          <t>date_fixture.bank_cash_on_2026_10_22_cents</t>
        </is>
      </c>
      <c r="C31" s="16" t="inlineStr">
        <is>
          <t>§3, I01, I02, I06, I07</t>
        </is>
      </c>
      <c r="D31" s="16" t="inlineStr">
        <is>
          <t>centavos BRL</t>
        </is>
      </c>
      <c r="E31" s="16" t="inlineStr">
        <is>
          <t>=</t>
        </is>
      </c>
      <c r="F31" s="32" t="n">
        <v>1000000</v>
      </c>
      <c r="G31" s="33" t="n"/>
      <c r="H31" s="32">
        <f>IF(AND(ISNUMBER(F31),ISNUMBER(G31)),G31-F31,"")</f>
        <v/>
      </c>
      <c r="I31" s="16">
        <f>IF(COUNTBLANK(G31)=1,"Não executado",IF(ISNUMBER(F31)&lt;&gt;ISNUMBER(G31),"Tipo incompatível",IF(IF(E31="&lt;&gt;",G31&lt;&gt;F31,G31=F31),IF(OR(J31="",K31="",NOT(ISNUMBER(L31)),L31&lt;=0),"Evidência pendente","Compatível"),"Divergente")))</f>
        <v/>
      </c>
      <c r="J31" s="12" t="str"/>
      <c r="K31" s="12" t="str"/>
      <c r="L31" s="28" t="n"/>
      <c r="M31" s="16" t="str"/>
      <c r="N31" s="16" t="str"/>
      <c r="O31" s="16" t="str"/>
      <c r="P31" s="16" t="str"/>
      <c r="Q31" s="16" t="str"/>
    </row>
    <row r="32" ht="42" customHeight="1">
      <c r="A32" s="16" t="inlineStr">
        <is>
          <t>CT04</t>
        </is>
      </c>
      <c r="B32" s="16" t="inlineStr">
        <is>
          <t>date_fixture.new_cash_on_2026_10_24_cents</t>
        </is>
      </c>
      <c r="C32" s="16" t="inlineStr">
        <is>
          <t>§3, I01, I02, I06, I07</t>
        </is>
      </c>
      <c r="D32" s="16" t="inlineStr">
        <is>
          <t>centavos BRL</t>
        </is>
      </c>
      <c r="E32" s="16" t="inlineStr">
        <is>
          <t>=</t>
        </is>
      </c>
      <c r="F32" s="32" t="n">
        <v>0</v>
      </c>
      <c r="G32" s="33" t="n"/>
      <c r="H32" s="32">
        <f>IF(AND(ISNUMBER(F32),ISNUMBER(G32)),G32-F32,"")</f>
        <v/>
      </c>
      <c r="I32" s="16">
        <f>IF(COUNTBLANK(G32)=1,"Não executado",IF(ISNUMBER(F32)&lt;&gt;ISNUMBER(G32),"Tipo incompatível",IF(IF(E32="&lt;&gt;",G32&lt;&gt;F32,G32=F32),IF(OR(J32="",K32="",NOT(ISNUMBER(L32)),L32&lt;=0),"Evidência pendente","Compatível"),"Divergente")))</f>
        <v/>
      </c>
      <c r="J32" s="12" t="str"/>
      <c r="K32" s="12" t="str"/>
      <c r="L32" s="28" t="n"/>
      <c r="M32" s="16" t="str"/>
      <c r="N32" s="16" t="str"/>
      <c r="O32" s="16" t="str"/>
      <c r="P32" s="16" t="str"/>
      <c r="Q32" s="16" t="str"/>
    </row>
    <row r="33" ht="42" customHeight="1">
      <c r="A33" s="16" t="inlineStr">
        <is>
          <t>CT04</t>
        </is>
      </c>
      <c r="B33" s="16" t="inlineStr">
        <is>
          <t>bucket_fixture.R_cents</t>
        </is>
      </c>
      <c r="C33" s="16" t="inlineStr">
        <is>
          <t>§3, I01, I02, I06, I07</t>
        </is>
      </c>
      <c r="D33" s="16" t="inlineStr">
        <is>
          <t>centavos BRL</t>
        </is>
      </c>
      <c r="E33" s="16" t="inlineStr">
        <is>
          <t>=</t>
        </is>
      </c>
      <c r="F33" s="32" t="n">
        <v>2800000</v>
      </c>
      <c r="G33" s="33" t="n"/>
      <c r="H33" s="32">
        <f>IF(AND(ISNUMBER(F33),ISNUMBER(G33)),G33-F33,"")</f>
        <v/>
      </c>
      <c r="I33" s="16">
        <f>IF(COUNTBLANK(G33)=1,"Não executado",IF(ISNUMBER(F33)&lt;&gt;ISNUMBER(G33),"Tipo incompatível",IF(IF(E33="&lt;&gt;",G33&lt;&gt;F33,G33=F33),IF(OR(J33="",K33="",NOT(ISNUMBER(L33)),L33&lt;=0),"Evidência pendente","Compatível"),"Divergente")))</f>
        <v/>
      </c>
      <c r="J33" s="12" t="str"/>
      <c r="K33" s="12" t="str"/>
      <c r="L33" s="28" t="n"/>
      <c r="M33" s="16" t="str"/>
      <c r="N33" s="16" t="str"/>
      <c r="O33" s="16" t="str"/>
      <c r="P33" s="16" t="str"/>
      <c r="Q33" s="16" t="str"/>
    </row>
    <row r="34" ht="42" customHeight="1">
      <c r="A34" s="16" t="inlineStr">
        <is>
          <t>CT04</t>
        </is>
      </c>
      <c r="B34" s="16" t="inlineStr">
        <is>
          <t>bucket_fixture.overdue_cents</t>
        </is>
      </c>
      <c r="C34" s="16" t="inlineStr">
        <is>
          <t>§3, I01, I02, I06, I07</t>
        </is>
      </c>
      <c r="D34" s="16" t="inlineStr">
        <is>
          <t>centavos BRL</t>
        </is>
      </c>
      <c r="E34" s="16" t="inlineStr">
        <is>
          <t>=</t>
        </is>
      </c>
      <c r="F34" s="32" t="n">
        <v>100000</v>
      </c>
      <c r="G34" s="33" t="n"/>
      <c r="H34" s="32">
        <f>IF(AND(ISNUMBER(F34),ISNUMBER(G34)),G34-F34,"")</f>
        <v/>
      </c>
      <c r="I34" s="16">
        <f>IF(COUNTBLANK(G34)=1,"Não executado",IF(ISNUMBER(F34)&lt;&gt;ISNUMBER(G34),"Tipo incompatível",IF(IF(E34="&lt;&gt;",G34&lt;&gt;F34,G34=F34),IF(OR(J34="",K34="",NOT(ISNUMBER(L34)),L34&lt;=0),"Evidência pendente","Compatível"),"Divergente")))</f>
        <v/>
      </c>
      <c r="J34" s="12" t="str"/>
      <c r="K34" s="12" t="str"/>
      <c r="L34" s="28" t="n"/>
      <c r="M34" s="16" t="str"/>
      <c r="N34" s="16" t="str"/>
      <c r="O34" s="16" t="str"/>
      <c r="P34" s="16" t="str"/>
      <c r="Q34" s="16" t="str"/>
    </row>
    <row r="35" ht="42" customHeight="1">
      <c r="A35" s="16" t="inlineStr">
        <is>
          <t>CT04</t>
        </is>
      </c>
      <c r="B35" s="16" t="inlineStr">
        <is>
          <t>bucket_fixture.due_today_cents</t>
        </is>
      </c>
      <c r="C35" s="16" t="inlineStr">
        <is>
          <t>§3, I01, I02, I06, I07</t>
        </is>
      </c>
      <c r="D35" s="16" t="inlineStr">
        <is>
          <t>centavos BRL</t>
        </is>
      </c>
      <c r="E35" s="16" t="inlineStr">
        <is>
          <t>=</t>
        </is>
      </c>
      <c r="F35" s="32" t="n">
        <v>200000</v>
      </c>
      <c r="G35" s="33" t="n"/>
      <c r="H35" s="32">
        <f>IF(AND(ISNUMBER(F35),ISNUMBER(G35)),G35-F35,"")</f>
        <v/>
      </c>
      <c r="I35" s="16">
        <f>IF(COUNTBLANK(G35)=1,"Não executado",IF(ISNUMBER(F35)&lt;&gt;ISNUMBER(G35),"Tipo incompatível",IF(IF(E35="&lt;&gt;",G35&lt;&gt;F35,G35=F35),IF(OR(J35="",K35="",NOT(ISNUMBER(L35)),L35&lt;=0),"Evidência pendente","Compatível"),"Divergente")))</f>
        <v/>
      </c>
      <c r="J35" s="12" t="str"/>
      <c r="K35" s="12" t="str"/>
      <c r="L35" s="28" t="n"/>
      <c r="M35" s="16" t="str"/>
      <c r="N35" s="16" t="str"/>
      <c r="O35" s="16" t="str"/>
      <c r="P35" s="16" t="str"/>
      <c r="Q35" s="16" t="str"/>
    </row>
    <row r="36" ht="42" customHeight="1">
      <c r="A36" s="16" t="inlineStr">
        <is>
          <t>CT04</t>
        </is>
      </c>
      <c r="B36" s="16" t="inlineStr">
        <is>
          <t>bucket_fixture.next_30_days_cents</t>
        </is>
      </c>
      <c r="C36" s="16" t="inlineStr">
        <is>
          <t>§3, I01, I02, I06, I07</t>
        </is>
      </c>
      <c r="D36" s="16" t="inlineStr">
        <is>
          <t>centavos BRL</t>
        </is>
      </c>
      <c r="E36" s="16" t="inlineStr">
        <is>
          <t>=</t>
        </is>
      </c>
      <c r="F36" s="32" t="n">
        <v>300000</v>
      </c>
      <c r="G36" s="33" t="n"/>
      <c r="H36" s="32">
        <f>IF(AND(ISNUMBER(F36),ISNUMBER(G36)),G36-F36,"")</f>
        <v/>
      </c>
      <c r="I36" s="16">
        <f>IF(COUNTBLANK(G36)=1,"Não executado",IF(ISNUMBER(F36)&lt;&gt;ISNUMBER(G36),"Tipo incompatível",IF(IF(E36="&lt;&gt;",G36&lt;&gt;F36,G36=F36),IF(OR(J36="",K36="",NOT(ISNUMBER(L36)),L36&lt;=0),"Evidência pendente","Compatível"),"Divergente")))</f>
        <v/>
      </c>
      <c r="J36" s="12" t="str"/>
      <c r="K36" s="12" t="str"/>
      <c r="L36" s="28" t="n"/>
      <c r="M36" s="16" t="str"/>
      <c r="N36" s="16" t="str"/>
      <c r="O36" s="16" t="str"/>
      <c r="P36" s="16" t="str"/>
      <c r="Q36" s="16" t="str"/>
    </row>
    <row r="37" ht="42" customHeight="1">
      <c r="A37" s="16" t="inlineStr">
        <is>
          <t>CT04</t>
        </is>
      </c>
      <c r="B37" s="16" t="inlineStr">
        <is>
          <t>bucket_fixture.next_90_days_cents</t>
        </is>
      </c>
      <c r="C37" s="16" t="inlineStr">
        <is>
          <t>§3, I01, I02, I06, I07</t>
        </is>
      </c>
      <c r="D37" s="16" t="inlineStr">
        <is>
          <t>centavos BRL</t>
        </is>
      </c>
      <c r="E37" s="16" t="inlineStr">
        <is>
          <t>=</t>
        </is>
      </c>
      <c r="F37" s="32" t="n">
        <v>1200000</v>
      </c>
      <c r="G37" s="33" t="n"/>
      <c r="H37" s="32">
        <f>IF(AND(ISNUMBER(F37),ISNUMBER(G37)),G37-F37,"")</f>
        <v/>
      </c>
      <c r="I37" s="16">
        <f>IF(COUNTBLANK(G37)=1,"Não executado",IF(ISNUMBER(F37)&lt;&gt;ISNUMBER(G37),"Tipo incompatível",IF(IF(E37="&lt;&gt;",G37&lt;&gt;F37,G37=F37),IF(OR(J37="",K37="",NOT(ISNUMBER(L37)),L37&lt;=0),"Evidência pendente","Compatível"),"Divergente")))</f>
        <v/>
      </c>
      <c r="J37" s="12" t="str"/>
      <c r="K37" s="12" t="str"/>
      <c r="L37" s="28" t="n"/>
      <c r="M37" s="16" t="str"/>
      <c r="N37" s="16" t="str"/>
      <c r="O37" s="16" t="str"/>
      <c r="P37" s="16" t="str"/>
      <c r="Q37" s="16" t="str"/>
    </row>
    <row r="38" ht="42" customHeight="1">
      <c r="A38" s="16" t="inlineStr">
        <is>
          <t>CT04</t>
        </is>
      </c>
      <c r="B38" s="16" t="inlineStr">
        <is>
          <t>bucket_fixture.beyond_90_days_cents</t>
        </is>
      </c>
      <c r="C38" s="16" t="inlineStr">
        <is>
          <t>§3, I01, I02, I06, I07</t>
        </is>
      </c>
      <c r="D38" s="16" t="inlineStr">
        <is>
          <t>centavos BRL</t>
        </is>
      </c>
      <c r="E38" s="16" t="inlineStr">
        <is>
          <t>=</t>
        </is>
      </c>
      <c r="F38" s="32" t="n">
        <v>600000</v>
      </c>
      <c r="G38" s="33" t="n"/>
      <c r="H38" s="32">
        <f>IF(AND(ISNUMBER(F38),ISNUMBER(G38)),G38-F38,"")</f>
        <v/>
      </c>
      <c r="I38" s="16">
        <f>IF(COUNTBLANK(G38)=1,"Não executado",IF(ISNUMBER(F38)&lt;&gt;ISNUMBER(G38),"Tipo incompatível",IF(IF(E38="&lt;&gt;",G38&lt;&gt;F38,G38=F38),IF(OR(J38="",K38="",NOT(ISNUMBER(L38)),L38&lt;=0),"Evidência pendente","Compatível"),"Divergente")))</f>
        <v/>
      </c>
      <c r="J38" s="12" t="str"/>
      <c r="K38" s="12" t="str"/>
      <c r="L38" s="28" t="n"/>
      <c r="M38" s="16" t="str"/>
      <c r="N38" s="16" t="str"/>
      <c r="O38" s="16" t="str"/>
      <c r="P38" s="16" t="str"/>
      <c r="Q38" s="16" t="str"/>
    </row>
    <row r="39" ht="42" customHeight="1">
      <c r="A39" s="16" t="inlineStr">
        <is>
          <t>CT04</t>
        </is>
      </c>
      <c r="B39" s="16" t="inlineStr">
        <is>
          <t>bucket_fixture.unknown_due_cents</t>
        </is>
      </c>
      <c r="C39" s="16" t="inlineStr">
        <is>
          <t>§3, I01, I02, I06, I07</t>
        </is>
      </c>
      <c r="D39" s="16" t="inlineStr">
        <is>
          <t>centavos BRL</t>
        </is>
      </c>
      <c r="E39" s="16" t="inlineStr">
        <is>
          <t>=</t>
        </is>
      </c>
      <c r="F39" s="32" t="n">
        <v>700000</v>
      </c>
      <c r="G39" s="33" t="n"/>
      <c r="H39" s="32">
        <f>IF(AND(ISNUMBER(F39),ISNUMBER(G39)),G39-F39,"")</f>
        <v/>
      </c>
      <c r="I39" s="16">
        <f>IF(COUNTBLANK(G39)=1,"Não executado",IF(ISNUMBER(F39)&lt;&gt;ISNUMBER(G39),"Tipo incompatível",IF(IF(E39="&lt;&gt;",G39&lt;&gt;F39,G39=F39),IF(OR(J39="",K39="",NOT(ISNUMBER(L39)),L39&lt;=0),"Evidência pendente","Compatível"),"Divergente")))</f>
        <v/>
      </c>
      <c r="J39" s="12" t="str"/>
      <c r="K39" s="12" t="str"/>
      <c r="L39" s="28" t="n"/>
      <c r="M39" s="16" t="str"/>
      <c r="N39" s="16" t="str"/>
      <c r="O39" s="16" t="str"/>
      <c r="P39" s="16" t="str"/>
      <c r="Q39" s="16" t="str"/>
    </row>
    <row r="40" ht="42" customHeight="1">
      <c r="A40" s="16" t="inlineStr">
        <is>
          <t>CT04</t>
        </is>
      </c>
      <c r="B40" s="16" t="inlineStr">
        <is>
          <t>bucket_fixture.immediate_need_through_30_days_cents</t>
        </is>
      </c>
      <c r="C40" s="16" t="inlineStr">
        <is>
          <t>§3, I01, I02, I06, I07</t>
        </is>
      </c>
      <c r="D40" s="16" t="inlineStr">
        <is>
          <t>centavos BRL</t>
        </is>
      </c>
      <c r="E40" s="16" t="inlineStr">
        <is>
          <t>=</t>
        </is>
      </c>
      <c r="F40" s="32" t="n">
        <v>600000</v>
      </c>
      <c r="G40" s="33" t="n"/>
      <c r="H40" s="32">
        <f>IF(AND(ISNUMBER(F40),ISNUMBER(G40)),G40-F40,"")</f>
        <v/>
      </c>
      <c r="I40" s="16">
        <f>IF(COUNTBLANK(G40)=1,"Não executado",IF(ISNUMBER(F40)&lt;&gt;ISNUMBER(G40),"Tipo incompatível",IF(IF(E40="&lt;&gt;",G40&lt;&gt;F40,G40=F40),IF(OR(J40="",K40="",NOT(ISNUMBER(L40)),L40&lt;=0),"Evidência pendente","Compatível"),"Divergente")))</f>
        <v/>
      </c>
      <c r="J40" s="12" t="str"/>
      <c r="K40" s="12" t="str"/>
      <c r="L40" s="28" t="n"/>
      <c r="M40" s="16" t="str"/>
      <c r="N40" s="16" t="str"/>
      <c r="O40" s="16" t="str"/>
      <c r="P40" s="16" t="str"/>
      <c r="Q40" s="16" t="str"/>
    </row>
    <row r="41" ht="112" customHeight="1">
      <c r="A41" s="20" t="inlineStr">
        <is>
          <t>CT05</t>
        </is>
      </c>
      <c r="B41" s="20" t="inlineStr">
        <is>
          <t>states[A].H_cents</t>
        </is>
      </c>
      <c r="C41" s="20" t="inlineStr">
        <is>
          <t>§7.1, §8.2, §12.1, I05, I09, I10, I12, I13</t>
        </is>
      </c>
      <c r="D41" s="20" t="inlineStr">
        <is>
          <t>centavos BRL</t>
        </is>
      </c>
      <c r="E41" s="20" t="inlineStr">
        <is>
          <t>=</t>
        </is>
      </c>
      <c r="F41" s="29" t="n">
        <v>0</v>
      </c>
      <c r="G41" s="30" t="n"/>
      <c r="H41" s="29">
        <f>IF(AND(ISNUMBER(F41),ISNUMBER(G41)),G41-F41,"")</f>
        <v/>
      </c>
      <c r="I41" s="20">
        <f>IF(COUNTBLANK(G41)=1,"Não executado",IF(ISNUMBER(F41)&lt;&gt;ISNUMBER(G41),"Tipo incompatível",IF(IF(E41="&lt;&gt;",G41&lt;&gt;F41,G41=F41),IF(OR(J41="",K41="",NOT(ISNUMBER(L41)),L41&lt;=0),"Evidência pendente","Compatível"),"Divergente")))</f>
        <v/>
      </c>
      <c r="J41" s="23" t="str"/>
      <c r="K41" s="23" t="str"/>
      <c r="L41" s="31" t="n"/>
      <c r="M41" s="20" t="inlineStr">
        <is>
          <t>Adiantamento antes da execução e aplicação sem segundo abatimento</t>
        </is>
      </c>
      <c r="N41" s="20" t="inlineStr">
        <is>
          <t>{"contract_value_cents": 10000000, "advance_due_cents": 2000000, "accepted_measurement_cents": 4000000, "advance_application_cents": 2000000}</t>
        </is>
      </c>
      <c r="O41" s="20" t="inlineStr">
        <is>
          <t>A: contrato firme, sem título.
B: constituir adiantamento exigível.
C: pagar e conciliar o adiantamento.
D: aceitar medição de 40.000,00 e aplicar 20.000,00.
E: pagar o saldo de 20.000,00 da medição.</t>
        </is>
      </c>
      <c r="P41" s="20" t="inlineStr">
        <is>
          <t>Na etapa D: C = 100.000,00 − H 20.000,00 − N 0,00 − Rv 20.000,00 = 60.000,00. Q = 20.000,00 + 60.000,00 = 80.000,00.
Aplicar o crédito não soma H nem N e não deduz 20.000,00 novamente de Q. EAC permanece 40.000,00 + 60.000,00 = 100.000,00.</t>
        </is>
      </c>
      <c r="Q41" s="20" t="inlineStr">
        <is>
          <t>D03/D06: adiantamento exigível reconhecido como obrigação antes do pagamento. Serviço só gera custo quando medição aceita. Sem AF.
Não confundir cobertura financeira com execução econômica.
Aplicação exige adiantamento pago, contraparte, contrato e medição beneficiada.</t>
        </is>
      </c>
    </row>
    <row r="42" ht="42" customHeight="1">
      <c r="A42" s="16" t="inlineStr">
        <is>
          <t>CT05</t>
        </is>
      </c>
      <c r="B42" s="16" t="inlineStr">
        <is>
          <t>states[A].R_cents</t>
        </is>
      </c>
      <c r="C42" s="16" t="inlineStr">
        <is>
          <t>§7.1, §8.2, §12.1, I05, I09, I10, I12, I13</t>
        </is>
      </c>
      <c r="D42" s="16" t="inlineStr">
        <is>
          <t>centavos BRL</t>
        </is>
      </c>
      <c r="E42" s="16" t="inlineStr">
        <is>
          <t>=</t>
        </is>
      </c>
      <c r="F42" s="32" t="n">
        <v>0</v>
      </c>
      <c r="G42" s="33" t="n"/>
      <c r="H42" s="32">
        <f>IF(AND(ISNUMBER(F42),ISNUMBER(G42)),G42-F42,"")</f>
        <v/>
      </c>
      <c r="I42" s="16">
        <f>IF(COUNTBLANK(G42)=1,"Não executado",IF(ISNUMBER(F42)&lt;&gt;ISNUMBER(G42),"Tipo incompatível",IF(IF(E42="&lt;&gt;",G42&lt;&gt;F42,G42=F42),IF(OR(J42="",K42="",NOT(ISNUMBER(L42)),L42&lt;=0),"Evidência pendente","Compatível"),"Divergente")))</f>
        <v/>
      </c>
      <c r="J42" s="12" t="str"/>
      <c r="K42" s="12" t="str"/>
      <c r="L42" s="28" t="n"/>
      <c r="M42" s="16" t="str"/>
      <c r="N42" s="16" t="str"/>
      <c r="O42" s="16" t="str"/>
      <c r="P42" s="16" t="str"/>
      <c r="Q42" s="16" t="str"/>
    </row>
    <row r="43" ht="42" customHeight="1">
      <c r="A43" s="16" t="inlineStr">
        <is>
          <t>CT05</t>
        </is>
      </c>
      <c r="B43" s="16" t="inlineStr">
        <is>
          <t>states[A].C_cents</t>
        </is>
      </c>
      <c r="C43" s="16" t="inlineStr">
        <is>
          <t>§7.1, §8.2, §12.1, I05, I09, I10, I12, I13</t>
        </is>
      </c>
      <c r="D43" s="16" t="inlineStr">
        <is>
          <t>centavos BRL</t>
        </is>
      </c>
      <c r="E43" s="16" t="inlineStr">
        <is>
          <t>=</t>
        </is>
      </c>
      <c r="F43" s="32" t="n">
        <v>10000000</v>
      </c>
      <c r="G43" s="33" t="n"/>
      <c r="H43" s="32">
        <f>IF(AND(ISNUMBER(F43),ISNUMBER(G43)),G43-F43,"")</f>
        <v/>
      </c>
      <c r="I43" s="16">
        <f>IF(COUNTBLANK(G43)=1,"Não executado",IF(ISNUMBER(F43)&lt;&gt;ISNUMBER(G43),"Tipo incompatível",IF(IF(E43="&lt;&gt;",G43&lt;&gt;F43,G43=F43),IF(OR(J43="",K43="",NOT(ISNUMBER(L43)),L43&lt;=0),"Evidência pendente","Compatível"),"Divergente")))</f>
        <v/>
      </c>
      <c r="J43" s="12" t="str"/>
      <c r="K43" s="12" t="str"/>
      <c r="L43" s="28" t="n"/>
      <c r="M43" s="16" t="str"/>
      <c r="N43" s="16" t="str"/>
      <c r="O43" s="16" t="str"/>
      <c r="P43" s="16" t="str"/>
      <c r="Q43" s="16" t="str"/>
    </row>
    <row r="44" ht="42" customHeight="1">
      <c r="A44" s="16" t="inlineStr">
        <is>
          <t>CT05</t>
        </is>
      </c>
      <c r="B44" s="16" t="inlineStr">
        <is>
          <t>states[A].Q_cents</t>
        </is>
      </c>
      <c r="C44" s="16" t="inlineStr">
        <is>
          <t>§7.1, §8.2, §12.1, I05, I09, I10, I12, I13</t>
        </is>
      </c>
      <c r="D44" s="16" t="inlineStr">
        <is>
          <t>centavos BRL</t>
        </is>
      </c>
      <c r="E44" s="16" t="inlineStr">
        <is>
          <t>=</t>
        </is>
      </c>
      <c r="F44" s="32" t="n">
        <v>10000000</v>
      </c>
      <c r="G44" s="33" t="n"/>
      <c r="H44" s="32">
        <f>IF(AND(ISNUMBER(F44),ISNUMBER(G44)),G44-F44,"")</f>
        <v/>
      </c>
      <c r="I44" s="16">
        <f>IF(COUNTBLANK(G44)=1,"Não executado",IF(ISNUMBER(F44)&lt;&gt;ISNUMBER(G44),"Tipo incompatível",IF(IF(E44="&lt;&gt;",G44&lt;&gt;F44,G44=F44),IF(OR(J44="",K44="",NOT(ISNUMBER(L44)),L44&lt;=0),"Evidência pendente","Compatível"),"Divergente")))</f>
        <v/>
      </c>
      <c r="J44" s="12" t="str"/>
      <c r="K44" s="12" t="str"/>
      <c r="L44" s="28" t="n"/>
      <c r="M44" s="16" t="str"/>
      <c r="N44" s="16" t="str"/>
      <c r="O44" s="16" t="str"/>
      <c r="P44" s="16" t="str"/>
      <c r="Q44" s="16" t="str"/>
    </row>
    <row r="45" ht="42" customHeight="1">
      <c r="A45" s="16" t="inlineStr">
        <is>
          <t>CT05</t>
        </is>
      </c>
      <c r="B45" s="16" t="inlineStr">
        <is>
          <t>states[A].cost_cents</t>
        </is>
      </c>
      <c r="C45" s="16" t="inlineStr">
        <is>
          <t>§7.1, §8.2, §12.1, I05, I09, I10, I12, I13</t>
        </is>
      </c>
      <c r="D45" s="16" t="inlineStr">
        <is>
          <t>centavos BRL</t>
        </is>
      </c>
      <c r="E45" s="16" t="inlineStr">
        <is>
          <t>=</t>
        </is>
      </c>
      <c r="F45" s="32" t="n">
        <v>0</v>
      </c>
      <c r="G45" s="33" t="n"/>
      <c r="H45" s="32">
        <f>IF(AND(ISNUMBER(F45),ISNUMBER(G45)),G45-F45,"")</f>
        <v/>
      </c>
      <c r="I45" s="16">
        <f>IF(COUNTBLANK(G45)=1,"Não executado",IF(ISNUMBER(F45)&lt;&gt;ISNUMBER(G45),"Tipo incompatível",IF(IF(E45="&lt;&gt;",G45&lt;&gt;F45,G45=F45),IF(OR(J45="",K45="",NOT(ISNUMBER(L45)),L45&lt;=0),"Evidência pendente","Compatível"),"Divergente")))</f>
        <v/>
      </c>
      <c r="J45" s="12" t="str"/>
      <c r="K45" s="12" t="str"/>
      <c r="L45" s="28" t="n"/>
      <c r="M45" s="16" t="str"/>
      <c r="N45" s="16" t="str"/>
      <c r="O45" s="16" t="str"/>
      <c r="P45" s="16" t="str"/>
      <c r="Q45" s="16" t="str"/>
    </row>
    <row r="46" ht="42" customHeight="1">
      <c r="A46" s="16" t="inlineStr">
        <is>
          <t>CT05</t>
        </is>
      </c>
      <c r="B46" s="16" t="inlineStr">
        <is>
          <t>states[A].ETC_cents</t>
        </is>
      </c>
      <c r="C46" s="16" t="inlineStr">
        <is>
          <t>§7.1, §8.2, §12.1, I05, I09, I10, I12, I13</t>
        </is>
      </c>
      <c r="D46" s="16" t="inlineStr">
        <is>
          <t>centavos BRL</t>
        </is>
      </c>
      <c r="E46" s="16" t="inlineStr">
        <is>
          <t>=</t>
        </is>
      </c>
      <c r="F46" s="32" t="n">
        <v>10000000</v>
      </c>
      <c r="G46" s="33" t="n"/>
      <c r="H46" s="32">
        <f>IF(AND(ISNUMBER(F46),ISNUMBER(G46)),G46-F46,"")</f>
        <v/>
      </c>
      <c r="I46" s="16">
        <f>IF(COUNTBLANK(G46)=1,"Não executado",IF(ISNUMBER(F46)&lt;&gt;ISNUMBER(G46),"Tipo incompatível",IF(IF(E46="&lt;&gt;",G46&lt;&gt;F46,G46=F46),IF(OR(J46="",K46="",NOT(ISNUMBER(L46)),L46&lt;=0),"Evidência pendente","Compatível"),"Divergente")))</f>
        <v/>
      </c>
      <c r="J46" s="12" t="str"/>
      <c r="K46" s="12" t="str"/>
      <c r="L46" s="28" t="n"/>
      <c r="M46" s="16" t="str"/>
      <c r="N46" s="16" t="str"/>
      <c r="O46" s="16" t="str"/>
      <c r="P46" s="16" t="str"/>
      <c r="Q46" s="16" t="str"/>
    </row>
    <row r="47" ht="42" customHeight="1">
      <c r="A47" s="16" t="inlineStr">
        <is>
          <t>CT05</t>
        </is>
      </c>
      <c r="B47" s="16" t="inlineStr">
        <is>
          <t>states[A].advance_available_cents</t>
        </is>
      </c>
      <c r="C47" s="16" t="inlineStr">
        <is>
          <t>§7.1, §8.2, §12.1, I05, I09, I10, I12, I13</t>
        </is>
      </c>
      <c r="D47" s="16" t="inlineStr">
        <is>
          <t>centavos BRL</t>
        </is>
      </c>
      <c r="E47" s="16" t="inlineStr">
        <is>
          <t>=</t>
        </is>
      </c>
      <c r="F47" s="32" t="n">
        <v>0</v>
      </c>
      <c r="G47" s="33" t="n"/>
      <c r="H47" s="32">
        <f>IF(AND(ISNUMBER(F47),ISNUMBER(G47)),G47-F47,"")</f>
        <v/>
      </c>
      <c r="I47" s="16">
        <f>IF(COUNTBLANK(G47)=1,"Não executado",IF(ISNUMBER(F47)&lt;&gt;ISNUMBER(G47),"Tipo incompatível",IF(IF(E47="&lt;&gt;",G47&lt;&gt;F47,G47=F47),IF(OR(J47="",K47="",NOT(ISNUMBER(L47)),L47&lt;=0),"Evidência pendente","Compatível"),"Divergente")))</f>
        <v/>
      </c>
      <c r="J47" s="12" t="str"/>
      <c r="K47" s="12" t="str"/>
      <c r="L47" s="28" t="n"/>
      <c r="M47" s="16" t="str"/>
      <c r="N47" s="16" t="str"/>
      <c r="O47" s="16" t="str"/>
      <c r="P47" s="16" t="str"/>
      <c r="Q47" s="16" t="str"/>
    </row>
    <row r="48" ht="42" customHeight="1">
      <c r="A48" s="16" t="inlineStr">
        <is>
          <t>CT05</t>
        </is>
      </c>
      <c r="B48" s="16" t="inlineStr">
        <is>
          <t>states[B].H_cents</t>
        </is>
      </c>
      <c r="C48" s="16" t="inlineStr">
        <is>
          <t>§7.1, §8.2, §12.1, I05, I09, I10, I12, I13</t>
        </is>
      </c>
      <c r="D48" s="16" t="inlineStr">
        <is>
          <t>centavos BRL</t>
        </is>
      </c>
      <c r="E48" s="16" t="inlineStr">
        <is>
          <t>=</t>
        </is>
      </c>
      <c r="F48" s="32" t="n">
        <v>0</v>
      </c>
      <c r="G48" s="33" t="n"/>
      <c r="H48" s="32">
        <f>IF(AND(ISNUMBER(F48),ISNUMBER(G48)),G48-F48,"")</f>
        <v/>
      </c>
      <c r="I48" s="16">
        <f>IF(COUNTBLANK(G48)=1,"Não executado",IF(ISNUMBER(F48)&lt;&gt;ISNUMBER(G48),"Tipo incompatível",IF(IF(E48="&lt;&gt;",G48&lt;&gt;F48,G48=F48),IF(OR(J48="",K48="",NOT(ISNUMBER(L48)),L48&lt;=0),"Evidência pendente","Compatível"),"Divergente")))</f>
        <v/>
      </c>
      <c r="J48" s="12" t="str"/>
      <c r="K48" s="12" t="str"/>
      <c r="L48" s="28" t="n"/>
      <c r="M48" s="16" t="str"/>
      <c r="N48" s="16" t="str"/>
      <c r="O48" s="16" t="str"/>
      <c r="P48" s="16" t="str"/>
      <c r="Q48" s="16" t="str"/>
    </row>
    <row r="49" ht="42" customHeight="1">
      <c r="A49" s="16" t="inlineStr">
        <is>
          <t>CT05</t>
        </is>
      </c>
      <c r="B49" s="16" t="inlineStr">
        <is>
          <t>states[B].R_cents</t>
        </is>
      </c>
      <c r="C49" s="16" t="inlineStr">
        <is>
          <t>§7.1, §8.2, §12.1, I05, I09, I10, I12, I13</t>
        </is>
      </c>
      <c r="D49" s="16" t="inlineStr">
        <is>
          <t>centavos BRL</t>
        </is>
      </c>
      <c r="E49" s="16" t="inlineStr">
        <is>
          <t>=</t>
        </is>
      </c>
      <c r="F49" s="32" t="n">
        <v>2000000</v>
      </c>
      <c r="G49" s="33" t="n"/>
      <c r="H49" s="32">
        <f>IF(AND(ISNUMBER(F49),ISNUMBER(G49)),G49-F49,"")</f>
        <v/>
      </c>
      <c r="I49" s="16">
        <f>IF(COUNTBLANK(G49)=1,"Não executado",IF(ISNUMBER(F49)&lt;&gt;ISNUMBER(G49),"Tipo incompatível",IF(IF(E49="&lt;&gt;",G49&lt;&gt;F49,G49=F49),IF(OR(J49="",K49="",NOT(ISNUMBER(L49)),L49&lt;=0),"Evidência pendente","Compatível"),"Divergente")))</f>
        <v/>
      </c>
      <c r="J49" s="12" t="str"/>
      <c r="K49" s="12" t="str"/>
      <c r="L49" s="28" t="n"/>
      <c r="M49" s="16" t="str"/>
      <c r="N49" s="16" t="str"/>
      <c r="O49" s="16" t="str"/>
      <c r="P49" s="16" t="str"/>
      <c r="Q49" s="16" t="str"/>
    </row>
    <row r="50" ht="42" customHeight="1">
      <c r="A50" s="16" t="inlineStr">
        <is>
          <t>CT05</t>
        </is>
      </c>
      <c r="B50" s="16" t="inlineStr">
        <is>
          <t>states[B].C_cents</t>
        </is>
      </c>
      <c r="C50" s="16" t="inlineStr">
        <is>
          <t>§7.1, §8.2, §12.1, I05, I09, I10, I12, I13</t>
        </is>
      </c>
      <c r="D50" s="16" t="inlineStr">
        <is>
          <t>centavos BRL</t>
        </is>
      </c>
      <c r="E50" s="16" t="inlineStr">
        <is>
          <t>=</t>
        </is>
      </c>
      <c r="F50" s="32" t="n">
        <v>8000000</v>
      </c>
      <c r="G50" s="33" t="n"/>
      <c r="H50" s="32">
        <f>IF(AND(ISNUMBER(F50),ISNUMBER(G50)),G50-F50,"")</f>
        <v/>
      </c>
      <c r="I50" s="16">
        <f>IF(COUNTBLANK(G50)=1,"Não executado",IF(ISNUMBER(F50)&lt;&gt;ISNUMBER(G50),"Tipo incompatível",IF(IF(E50="&lt;&gt;",G50&lt;&gt;F50,G50=F50),IF(OR(J50="",K50="",NOT(ISNUMBER(L50)),L50&lt;=0),"Evidência pendente","Compatível"),"Divergente")))</f>
        <v/>
      </c>
      <c r="J50" s="12" t="str"/>
      <c r="K50" s="12" t="str"/>
      <c r="L50" s="28" t="n"/>
      <c r="M50" s="16" t="str"/>
      <c r="N50" s="16" t="str"/>
      <c r="O50" s="16" t="str"/>
      <c r="P50" s="16" t="str"/>
      <c r="Q50" s="16" t="str"/>
    </row>
    <row r="51" ht="42" customHeight="1">
      <c r="A51" s="16" t="inlineStr">
        <is>
          <t>CT05</t>
        </is>
      </c>
      <c r="B51" s="16" t="inlineStr">
        <is>
          <t>states[B].Q_cents</t>
        </is>
      </c>
      <c r="C51" s="16" t="inlineStr">
        <is>
          <t>§7.1, §8.2, §12.1, I05, I09, I10, I12, I13</t>
        </is>
      </c>
      <c r="D51" s="16" t="inlineStr">
        <is>
          <t>centavos BRL</t>
        </is>
      </c>
      <c r="E51" s="16" t="inlineStr">
        <is>
          <t>=</t>
        </is>
      </c>
      <c r="F51" s="32" t="n">
        <v>10000000</v>
      </c>
      <c r="G51" s="33" t="n"/>
      <c r="H51" s="32">
        <f>IF(AND(ISNUMBER(F51),ISNUMBER(G51)),G51-F51,"")</f>
        <v/>
      </c>
      <c r="I51" s="16">
        <f>IF(COUNTBLANK(G51)=1,"Não executado",IF(ISNUMBER(F51)&lt;&gt;ISNUMBER(G51),"Tipo incompatível",IF(IF(E51="&lt;&gt;",G51&lt;&gt;F51,G51=F51),IF(OR(J51="",K51="",NOT(ISNUMBER(L51)),L51&lt;=0),"Evidência pendente","Compatível"),"Divergente")))</f>
        <v/>
      </c>
      <c r="J51" s="12" t="str"/>
      <c r="K51" s="12" t="str"/>
      <c r="L51" s="28" t="n"/>
      <c r="M51" s="16" t="str"/>
      <c r="N51" s="16" t="str"/>
      <c r="O51" s="16" t="str"/>
      <c r="P51" s="16" t="str"/>
      <c r="Q51" s="16" t="str"/>
    </row>
    <row r="52" ht="42" customHeight="1">
      <c r="A52" s="16" t="inlineStr">
        <is>
          <t>CT05</t>
        </is>
      </c>
      <c r="B52" s="16" t="inlineStr">
        <is>
          <t>states[B].cost_cents</t>
        </is>
      </c>
      <c r="C52" s="16" t="inlineStr">
        <is>
          <t>§7.1, §8.2, §12.1, I05, I09, I10, I12, I13</t>
        </is>
      </c>
      <c r="D52" s="16" t="inlineStr">
        <is>
          <t>centavos BRL</t>
        </is>
      </c>
      <c r="E52" s="16" t="inlineStr">
        <is>
          <t>=</t>
        </is>
      </c>
      <c r="F52" s="32" t="n">
        <v>0</v>
      </c>
      <c r="G52" s="33" t="n"/>
      <c r="H52" s="32">
        <f>IF(AND(ISNUMBER(F52),ISNUMBER(G52)),G52-F52,"")</f>
        <v/>
      </c>
      <c r="I52" s="16">
        <f>IF(COUNTBLANK(G52)=1,"Não executado",IF(ISNUMBER(F52)&lt;&gt;ISNUMBER(G52),"Tipo incompatível",IF(IF(E52="&lt;&gt;",G52&lt;&gt;F52,G52=F52),IF(OR(J52="",K52="",NOT(ISNUMBER(L52)),L52&lt;=0),"Evidência pendente","Compatível"),"Divergente")))</f>
        <v/>
      </c>
      <c r="J52" s="12" t="str"/>
      <c r="K52" s="12" t="str"/>
      <c r="L52" s="28" t="n"/>
      <c r="M52" s="16" t="str"/>
      <c r="N52" s="16" t="str"/>
      <c r="O52" s="16" t="str"/>
      <c r="P52" s="16" t="str"/>
      <c r="Q52" s="16" t="str"/>
    </row>
    <row r="53" ht="42" customHeight="1">
      <c r="A53" s="16" t="inlineStr">
        <is>
          <t>CT05</t>
        </is>
      </c>
      <c r="B53" s="16" t="inlineStr">
        <is>
          <t>states[B].ETC_cents</t>
        </is>
      </c>
      <c r="C53" s="16" t="inlineStr">
        <is>
          <t>§7.1, §8.2, §12.1, I05, I09, I10, I12, I13</t>
        </is>
      </c>
      <c r="D53" s="16" t="inlineStr">
        <is>
          <t>centavos BRL</t>
        </is>
      </c>
      <c r="E53" s="16" t="inlineStr">
        <is>
          <t>=</t>
        </is>
      </c>
      <c r="F53" s="32" t="n">
        <v>10000000</v>
      </c>
      <c r="G53" s="33" t="n"/>
      <c r="H53" s="32">
        <f>IF(AND(ISNUMBER(F53),ISNUMBER(G53)),G53-F53,"")</f>
        <v/>
      </c>
      <c r="I53" s="16">
        <f>IF(COUNTBLANK(G53)=1,"Não executado",IF(ISNUMBER(F53)&lt;&gt;ISNUMBER(G53),"Tipo incompatível",IF(IF(E53="&lt;&gt;",G53&lt;&gt;F53,G53=F53),IF(OR(J53="",K53="",NOT(ISNUMBER(L53)),L53&lt;=0),"Evidência pendente","Compatível"),"Divergente")))</f>
        <v/>
      </c>
      <c r="J53" s="12" t="str"/>
      <c r="K53" s="12" t="str"/>
      <c r="L53" s="28" t="n"/>
      <c r="M53" s="16" t="str"/>
      <c r="N53" s="16" t="str"/>
      <c r="O53" s="16" t="str"/>
      <c r="P53" s="16" t="str"/>
      <c r="Q53" s="16" t="str"/>
    </row>
    <row r="54" ht="42" customHeight="1">
      <c r="A54" s="16" t="inlineStr">
        <is>
          <t>CT05</t>
        </is>
      </c>
      <c r="B54" s="16" t="inlineStr">
        <is>
          <t>states[B].advance_available_cents</t>
        </is>
      </c>
      <c r="C54" s="16" t="inlineStr">
        <is>
          <t>§7.1, §8.2, §12.1, I05, I09, I10, I12, I13</t>
        </is>
      </c>
      <c r="D54" s="16" t="inlineStr">
        <is>
          <t>centavos BRL</t>
        </is>
      </c>
      <c r="E54" s="16" t="inlineStr">
        <is>
          <t>=</t>
        </is>
      </c>
      <c r="F54" s="32" t="n">
        <v>0</v>
      </c>
      <c r="G54" s="33" t="n"/>
      <c r="H54" s="32">
        <f>IF(AND(ISNUMBER(F54),ISNUMBER(G54)),G54-F54,"")</f>
        <v/>
      </c>
      <c r="I54" s="16">
        <f>IF(COUNTBLANK(G54)=1,"Não executado",IF(ISNUMBER(F54)&lt;&gt;ISNUMBER(G54),"Tipo incompatível",IF(IF(E54="&lt;&gt;",G54&lt;&gt;F54,G54=F54),IF(OR(J54="",K54="",NOT(ISNUMBER(L54)),L54&lt;=0),"Evidência pendente","Compatível"),"Divergente")))</f>
        <v/>
      </c>
      <c r="J54" s="12" t="str"/>
      <c r="K54" s="12" t="str"/>
      <c r="L54" s="28" t="n"/>
      <c r="M54" s="16" t="str"/>
      <c r="N54" s="16" t="str"/>
      <c r="O54" s="16" t="str"/>
      <c r="P54" s="16" t="str"/>
      <c r="Q54" s="16" t="str"/>
    </row>
    <row r="55" ht="42" customHeight="1">
      <c r="A55" s="16" t="inlineStr">
        <is>
          <t>CT05</t>
        </is>
      </c>
      <c r="B55" s="16" t="inlineStr">
        <is>
          <t>states[C].H_cents</t>
        </is>
      </c>
      <c r="C55" s="16" t="inlineStr">
        <is>
          <t>§7.1, §8.2, §12.1, I05, I09, I10, I12, I13</t>
        </is>
      </c>
      <c r="D55" s="16" t="inlineStr">
        <is>
          <t>centavos BRL</t>
        </is>
      </c>
      <c r="E55" s="16" t="inlineStr">
        <is>
          <t>=</t>
        </is>
      </c>
      <c r="F55" s="32" t="n">
        <v>2000000</v>
      </c>
      <c r="G55" s="33" t="n"/>
      <c r="H55" s="32">
        <f>IF(AND(ISNUMBER(F55),ISNUMBER(G55)),G55-F55,"")</f>
        <v/>
      </c>
      <c r="I55" s="16">
        <f>IF(COUNTBLANK(G55)=1,"Não executado",IF(ISNUMBER(F55)&lt;&gt;ISNUMBER(G55),"Tipo incompatível",IF(IF(E55="&lt;&gt;",G55&lt;&gt;F55,G55=F55),IF(OR(J55="",K55="",NOT(ISNUMBER(L55)),L55&lt;=0),"Evidência pendente","Compatível"),"Divergente")))</f>
        <v/>
      </c>
      <c r="J55" s="12" t="str"/>
      <c r="K55" s="12" t="str"/>
      <c r="L55" s="28" t="n"/>
      <c r="M55" s="16" t="str"/>
      <c r="N55" s="16" t="str"/>
      <c r="O55" s="16" t="str"/>
      <c r="P55" s="16" t="str"/>
      <c r="Q55" s="16" t="str"/>
    </row>
    <row r="56" ht="42" customHeight="1">
      <c r="A56" s="16" t="inlineStr">
        <is>
          <t>CT05</t>
        </is>
      </c>
      <c r="B56" s="16" t="inlineStr">
        <is>
          <t>states[C].R_cents</t>
        </is>
      </c>
      <c r="C56" s="16" t="inlineStr">
        <is>
          <t>§7.1, §8.2, §12.1, I05, I09, I10, I12, I13</t>
        </is>
      </c>
      <c r="D56" s="16" t="inlineStr">
        <is>
          <t>centavos BRL</t>
        </is>
      </c>
      <c r="E56" s="16" t="inlineStr">
        <is>
          <t>=</t>
        </is>
      </c>
      <c r="F56" s="32" t="n">
        <v>0</v>
      </c>
      <c r="G56" s="33" t="n"/>
      <c r="H56" s="32">
        <f>IF(AND(ISNUMBER(F56),ISNUMBER(G56)),G56-F56,"")</f>
        <v/>
      </c>
      <c r="I56" s="16">
        <f>IF(COUNTBLANK(G56)=1,"Não executado",IF(ISNUMBER(F56)&lt;&gt;ISNUMBER(G56),"Tipo incompatível",IF(IF(E56="&lt;&gt;",G56&lt;&gt;F56,G56=F56),IF(OR(J56="",K56="",NOT(ISNUMBER(L56)),L56&lt;=0),"Evidência pendente","Compatível"),"Divergente")))</f>
        <v/>
      </c>
      <c r="J56" s="12" t="str"/>
      <c r="K56" s="12" t="str"/>
      <c r="L56" s="28" t="n"/>
      <c r="M56" s="16" t="str"/>
      <c r="N56" s="16" t="str"/>
      <c r="O56" s="16" t="str"/>
      <c r="P56" s="16" t="str"/>
      <c r="Q56" s="16" t="str"/>
    </row>
    <row r="57" ht="42" customHeight="1">
      <c r="A57" s="16" t="inlineStr">
        <is>
          <t>CT05</t>
        </is>
      </c>
      <c r="B57" s="16" t="inlineStr">
        <is>
          <t>states[C].C_cents</t>
        </is>
      </c>
      <c r="C57" s="16" t="inlineStr">
        <is>
          <t>§7.1, §8.2, §12.1, I05, I09, I10, I12, I13</t>
        </is>
      </c>
      <c r="D57" s="16" t="inlineStr">
        <is>
          <t>centavos BRL</t>
        </is>
      </c>
      <c r="E57" s="16" t="inlineStr">
        <is>
          <t>=</t>
        </is>
      </c>
      <c r="F57" s="32" t="n">
        <v>8000000</v>
      </c>
      <c r="G57" s="33" t="n"/>
      <c r="H57" s="32">
        <f>IF(AND(ISNUMBER(F57),ISNUMBER(G57)),G57-F57,"")</f>
        <v/>
      </c>
      <c r="I57" s="16">
        <f>IF(COUNTBLANK(G57)=1,"Não executado",IF(ISNUMBER(F57)&lt;&gt;ISNUMBER(G57),"Tipo incompatível",IF(IF(E57="&lt;&gt;",G57&lt;&gt;F57,G57=F57),IF(OR(J57="",K57="",NOT(ISNUMBER(L57)),L57&lt;=0),"Evidência pendente","Compatível"),"Divergente")))</f>
        <v/>
      </c>
      <c r="J57" s="12" t="str"/>
      <c r="K57" s="12" t="str"/>
      <c r="L57" s="28" t="n"/>
      <c r="M57" s="16" t="str"/>
      <c r="N57" s="16" t="str"/>
      <c r="O57" s="16" t="str"/>
      <c r="P57" s="16" t="str"/>
      <c r="Q57" s="16" t="str"/>
    </row>
    <row r="58" ht="42" customHeight="1">
      <c r="A58" s="16" t="inlineStr">
        <is>
          <t>CT05</t>
        </is>
      </c>
      <c r="B58" s="16" t="inlineStr">
        <is>
          <t>states[C].Q_cents</t>
        </is>
      </c>
      <c r="C58" s="16" t="inlineStr">
        <is>
          <t>§7.1, §8.2, §12.1, I05, I09, I10, I12, I13</t>
        </is>
      </c>
      <c r="D58" s="16" t="inlineStr">
        <is>
          <t>centavos BRL</t>
        </is>
      </c>
      <c r="E58" s="16" t="inlineStr">
        <is>
          <t>=</t>
        </is>
      </c>
      <c r="F58" s="32" t="n">
        <v>8000000</v>
      </c>
      <c r="G58" s="33" t="n"/>
      <c r="H58" s="32">
        <f>IF(AND(ISNUMBER(F58),ISNUMBER(G58)),G58-F58,"")</f>
        <v/>
      </c>
      <c r="I58" s="16">
        <f>IF(COUNTBLANK(G58)=1,"Não executado",IF(ISNUMBER(F58)&lt;&gt;ISNUMBER(G58),"Tipo incompatível",IF(IF(E58="&lt;&gt;",G58&lt;&gt;F58,G58=F58),IF(OR(J58="",K58="",NOT(ISNUMBER(L58)),L58&lt;=0),"Evidência pendente","Compatível"),"Divergente")))</f>
        <v/>
      </c>
      <c r="J58" s="12" t="str"/>
      <c r="K58" s="12" t="str"/>
      <c r="L58" s="28" t="n"/>
      <c r="M58" s="16" t="str"/>
      <c r="N58" s="16" t="str"/>
      <c r="O58" s="16" t="str"/>
      <c r="P58" s="16" t="str"/>
      <c r="Q58" s="16" t="str"/>
    </row>
    <row r="59" ht="42" customHeight="1">
      <c r="A59" s="16" t="inlineStr">
        <is>
          <t>CT05</t>
        </is>
      </c>
      <c r="B59" s="16" t="inlineStr">
        <is>
          <t>states[C].cost_cents</t>
        </is>
      </c>
      <c r="C59" s="16" t="inlineStr">
        <is>
          <t>§7.1, §8.2, §12.1, I05, I09, I10, I12, I13</t>
        </is>
      </c>
      <c r="D59" s="16" t="inlineStr">
        <is>
          <t>centavos BRL</t>
        </is>
      </c>
      <c r="E59" s="16" t="inlineStr">
        <is>
          <t>=</t>
        </is>
      </c>
      <c r="F59" s="32" t="n">
        <v>0</v>
      </c>
      <c r="G59" s="33" t="n"/>
      <c r="H59" s="32">
        <f>IF(AND(ISNUMBER(F59),ISNUMBER(G59)),G59-F59,"")</f>
        <v/>
      </c>
      <c r="I59" s="16">
        <f>IF(COUNTBLANK(G59)=1,"Não executado",IF(ISNUMBER(F59)&lt;&gt;ISNUMBER(G59),"Tipo incompatível",IF(IF(E59="&lt;&gt;",G59&lt;&gt;F59,G59=F59),IF(OR(J59="",K59="",NOT(ISNUMBER(L59)),L59&lt;=0),"Evidência pendente","Compatível"),"Divergente")))</f>
        <v/>
      </c>
      <c r="J59" s="12" t="str"/>
      <c r="K59" s="12" t="str"/>
      <c r="L59" s="28" t="n"/>
      <c r="M59" s="16" t="str"/>
      <c r="N59" s="16" t="str"/>
      <c r="O59" s="16" t="str"/>
      <c r="P59" s="16" t="str"/>
      <c r="Q59" s="16" t="str"/>
    </row>
    <row r="60" ht="42" customHeight="1">
      <c r="A60" s="16" t="inlineStr">
        <is>
          <t>CT05</t>
        </is>
      </c>
      <c r="B60" s="16" t="inlineStr">
        <is>
          <t>states[C].ETC_cents</t>
        </is>
      </c>
      <c r="C60" s="16" t="inlineStr">
        <is>
          <t>§7.1, §8.2, §12.1, I05, I09, I10, I12, I13</t>
        </is>
      </c>
      <c r="D60" s="16" t="inlineStr">
        <is>
          <t>centavos BRL</t>
        </is>
      </c>
      <c r="E60" s="16" t="inlineStr">
        <is>
          <t>=</t>
        </is>
      </c>
      <c r="F60" s="32" t="n">
        <v>10000000</v>
      </c>
      <c r="G60" s="33" t="n"/>
      <c r="H60" s="32">
        <f>IF(AND(ISNUMBER(F60),ISNUMBER(G60)),G60-F60,"")</f>
        <v/>
      </c>
      <c r="I60" s="16">
        <f>IF(COUNTBLANK(G60)=1,"Não executado",IF(ISNUMBER(F60)&lt;&gt;ISNUMBER(G60),"Tipo incompatível",IF(IF(E60="&lt;&gt;",G60&lt;&gt;F60,G60=F60),IF(OR(J60="",K60="",NOT(ISNUMBER(L60)),L60&lt;=0),"Evidência pendente","Compatível"),"Divergente")))</f>
        <v/>
      </c>
      <c r="J60" s="12" t="str"/>
      <c r="K60" s="12" t="str"/>
      <c r="L60" s="28" t="n"/>
      <c r="M60" s="16" t="str"/>
      <c r="N60" s="16" t="str"/>
      <c r="O60" s="16" t="str"/>
      <c r="P60" s="16" t="str"/>
      <c r="Q60" s="16" t="str"/>
    </row>
    <row r="61" ht="42" customHeight="1">
      <c r="A61" s="16" t="inlineStr">
        <is>
          <t>CT05</t>
        </is>
      </c>
      <c r="B61" s="16" t="inlineStr">
        <is>
          <t>states[C].advance_available_cents</t>
        </is>
      </c>
      <c r="C61" s="16" t="inlineStr">
        <is>
          <t>§7.1, §8.2, §12.1, I05, I09, I10, I12, I13</t>
        </is>
      </c>
      <c r="D61" s="16" t="inlineStr">
        <is>
          <t>centavos BRL</t>
        </is>
      </c>
      <c r="E61" s="16" t="inlineStr">
        <is>
          <t>=</t>
        </is>
      </c>
      <c r="F61" s="32" t="n">
        <v>2000000</v>
      </c>
      <c r="G61" s="33" t="n"/>
      <c r="H61" s="32">
        <f>IF(AND(ISNUMBER(F61),ISNUMBER(G61)),G61-F61,"")</f>
        <v/>
      </c>
      <c r="I61" s="16">
        <f>IF(COUNTBLANK(G61)=1,"Não executado",IF(ISNUMBER(F61)&lt;&gt;ISNUMBER(G61),"Tipo incompatível",IF(IF(E61="&lt;&gt;",G61&lt;&gt;F61,G61=F61),IF(OR(J61="",K61="",NOT(ISNUMBER(L61)),L61&lt;=0),"Evidência pendente","Compatível"),"Divergente")))</f>
        <v/>
      </c>
      <c r="J61" s="12" t="str"/>
      <c r="K61" s="12" t="str"/>
      <c r="L61" s="28" t="n"/>
      <c r="M61" s="16" t="str"/>
      <c r="N61" s="16" t="str"/>
      <c r="O61" s="16" t="str"/>
      <c r="P61" s="16" t="str"/>
      <c r="Q61" s="16" t="str"/>
    </row>
    <row r="62" ht="42" customHeight="1">
      <c r="A62" s="16" t="inlineStr">
        <is>
          <t>CT05</t>
        </is>
      </c>
      <c r="B62" s="16" t="inlineStr">
        <is>
          <t>states[D].H_cents</t>
        </is>
      </c>
      <c r="C62" s="16" t="inlineStr">
        <is>
          <t>§7.1, §8.2, §12.1, I05, I09, I10, I12, I13</t>
        </is>
      </c>
      <c r="D62" s="16" t="inlineStr">
        <is>
          <t>centavos BRL</t>
        </is>
      </c>
      <c r="E62" s="16" t="inlineStr">
        <is>
          <t>=</t>
        </is>
      </c>
      <c r="F62" s="32" t="n">
        <v>2000000</v>
      </c>
      <c r="G62" s="33" t="n"/>
      <c r="H62" s="32">
        <f>IF(AND(ISNUMBER(F62),ISNUMBER(G62)),G62-F62,"")</f>
        <v/>
      </c>
      <c r="I62" s="16">
        <f>IF(COUNTBLANK(G62)=1,"Não executado",IF(ISNUMBER(F62)&lt;&gt;ISNUMBER(G62),"Tipo incompatível",IF(IF(E62="&lt;&gt;",G62&lt;&gt;F62,G62=F62),IF(OR(J62="",K62="",NOT(ISNUMBER(L62)),L62&lt;=0),"Evidência pendente","Compatível"),"Divergente")))</f>
        <v/>
      </c>
      <c r="J62" s="12" t="str"/>
      <c r="K62" s="12" t="str"/>
      <c r="L62" s="28" t="n"/>
      <c r="M62" s="16" t="str"/>
      <c r="N62" s="16" t="str"/>
      <c r="O62" s="16" t="str"/>
      <c r="P62" s="16" t="str"/>
      <c r="Q62" s="16" t="str"/>
    </row>
    <row r="63" ht="42" customHeight="1">
      <c r="A63" s="16" t="inlineStr">
        <is>
          <t>CT05</t>
        </is>
      </c>
      <c r="B63" s="16" t="inlineStr">
        <is>
          <t>states[D].R_cents</t>
        </is>
      </c>
      <c r="C63" s="16" t="inlineStr">
        <is>
          <t>§7.1, §8.2, §12.1, I05, I09, I10, I12, I13</t>
        </is>
      </c>
      <c r="D63" s="16" t="inlineStr">
        <is>
          <t>centavos BRL</t>
        </is>
      </c>
      <c r="E63" s="16" t="inlineStr">
        <is>
          <t>=</t>
        </is>
      </c>
      <c r="F63" s="32" t="n">
        <v>2000000</v>
      </c>
      <c r="G63" s="33" t="n"/>
      <c r="H63" s="32">
        <f>IF(AND(ISNUMBER(F63),ISNUMBER(G63)),G63-F63,"")</f>
        <v/>
      </c>
      <c r="I63" s="16">
        <f>IF(COUNTBLANK(G63)=1,"Não executado",IF(ISNUMBER(F63)&lt;&gt;ISNUMBER(G63),"Tipo incompatível",IF(IF(E63="&lt;&gt;",G63&lt;&gt;F63,G63=F63),IF(OR(J63="",K63="",NOT(ISNUMBER(L63)),L63&lt;=0),"Evidência pendente","Compatível"),"Divergente")))</f>
        <v/>
      </c>
      <c r="J63" s="12" t="str"/>
      <c r="K63" s="12" t="str"/>
      <c r="L63" s="28" t="n"/>
      <c r="M63" s="16" t="str"/>
      <c r="N63" s="16" t="str"/>
      <c r="O63" s="16" t="str"/>
      <c r="P63" s="16" t="str"/>
      <c r="Q63" s="16" t="str"/>
    </row>
    <row r="64" ht="42" customHeight="1">
      <c r="A64" s="16" t="inlineStr">
        <is>
          <t>CT05</t>
        </is>
      </c>
      <c r="B64" s="16" t="inlineStr">
        <is>
          <t>states[D].C_cents</t>
        </is>
      </c>
      <c r="C64" s="16" t="inlineStr">
        <is>
          <t>§7.1, §8.2, §12.1, I05, I09, I10, I12, I13</t>
        </is>
      </c>
      <c r="D64" s="16" t="inlineStr">
        <is>
          <t>centavos BRL</t>
        </is>
      </c>
      <c r="E64" s="16" t="inlineStr">
        <is>
          <t>=</t>
        </is>
      </c>
      <c r="F64" s="32" t="n">
        <v>6000000</v>
      </c>
      <c r="G64" s="33" t="n"/>
      <c r="H64" s="32">
        <f>IF(AND(ISNUMBER(F64),ISNUMBER(G64)),G64-F64,"")</f>
        <v/>
      </c>
      <c r="I64" s="16">
        <f>IF(COUNTBLANK(G64)=1,"Não executado",IF(ISNUMBER(F64)&lt;&gt;ISNUMBER(G64),"Tipo incompatível",IF(IF(E64="&lt;&gt;",G64&lt;&gt;F64,G64=F64),IF(OR(J64="",K64="",NOT(ISNUMBER(L64)),L64&lt;=0),"Evidência pendente","Compatível"),"Divergente")))</f>
        <v/>
      </c>
      <c r="J64" s="12" t="str"/>
      <c r="K64" s="12" t="str"/>
      <c r="L64" s="28" t="n"/>
      <c r="M64" s="16" t="str"/>
      <c r="N64" s="16" t="str"/>
      <c r="O64" s="16" t="str"/>
      <c r="P64" s="16" t="str"/>
      <c r="Q64" s="16" t="str"/>
    </row>
    <row r="65" ht="42" customHeight="1">
      <c r="A65" s="16" t="inlineStr">
        <is>
          <t>CT05</t>
        </is>
      </c>
      <c r="B65" s="16" t="inlineStr">
        <is>
          <t>states[D].Q_cents</t>
        </is>
      </c>
      <c r="C65" s="16" t="inlineStr">
        <is>
          <t>§7.1, §8.2, §12.1, I05, I09, I10, I12, I13</t>
        </is>
      </c>
      <c r="D65" s="16" t="inlineStr">
        <is>
          <t>centavos BRL</t>
        </is>
      </c>
      <c r="E65" s="16" t="inlineStr">
        <is>
          <t>=</t>
        </is>
      </c>
      <c r="F65" s="32" t="n">
        <v>8000000</v>
      </c>
      <c r="G65" s="33" t="n"/>
      <c r="H65" s="32">
        <f>IF(AND(ISNUMBER(F65),ISNUMBER(G65)),G65-F65,"")</f>
        <v/>
      </c>
      <c r="I65" s="16">
        <f>IF(COUNTBLANK(G65)=1,"Não executado",IF(ISNUMBER(F65)&lt;&gt;ISNUMBER(G65),"Tipo incompatível",IF(IF(E65="&lt;&gt;",G65&lt;&gt;F65,G65=F65),IF(OR(J65="",K65="",NOT(ISNUMBER(L65)),L65&lt;=0),"Evidência pendente","Compatível"),"Divergente")))</f>
        <v/>
      </c>
      <c r="J65" s="12" t="str"/>
      <c r="K65" s="12" t="str"/>
      <c r="L65" s="28" t="n"/>
      <c r="M65" s="16" t="str"/>
      <c r="N65" s="16" t="str"/>
      <c r="O65" s="16" t="str"/>
      <c r="P65" s="16" t="str"/>
      <c r="Q65" s="16" t="str"/>
    </row>
    <row r="66" ht="42" customHeight="1">
      <c r="A66" s="16" t="inlineStr">
        <is>
          <t>CT05</t>
        </is>
      </c>
      <c r="B66" s="16" t="inlineStr">
        <is>
          <t>states[D].cost_cents</t>
        </is>
      </c>
      <c r="C66" s="16" t="inlineStr">
        <is>
          <t>§7.1, §8.2, §12.1, I05, I09, I10, I12, I13</t>
        </is>
      </c>
      <c r="D66" s="16" t="inlineStr">
        <is>
          <t>centavos BRL</t>
        </is>
      </c>
      <c r="E66" s="16" t="inlineStr">
        <is>
          <t>=</t>
        </is>
      </c>
      <c r="F66" s="32" t="n">
        <v>4000000</v>
      </c>
      <c r="G66" s="33" t="n"/>
      <c r="H66" s="32">
        <f>IF(AND(ISNUMBER(F66),ISNUMBER(G66)),G66-F66,"")</f>
        <v/>
      </c>
      <c r="I66" s="16">
        <f>IF(COUNTBLANK(G66)=1,"Não executado",IF(ISNUMBER(F66)&lt;&gt;ISNUMBER(G66),"Tipo incompatível",IF(IF(E66="&lt;&gt;",G66&lt;&gt;F66,G66=F66),IF(OR(J66="",K66="",NOT(ISNUMBER(L66)),L66&lt;=0),"Evidência pendente","Compatível"),"Divergente")))</f>
        <v/>
      </c>
      <c r="J66" s="12" t="str"/>
      <c r="K66" s="12" t="str"/>
      <c r="L66" s="28" t="n"/>
      <c r="M66" s="16" t="str"/>
      <c r="N66" s="16" t="str"/>
      <c r="O66" s="16" t="str"/>
      <c r="P66" s="16" t="str"/>
      <c r="Q66" s="16" t="str"/>
    </row>
    <row r="67" ht="42" customHeight="1">
      <c r="A67" s="16" t="inlineStr">
        <is>
          <t>CT05</t>
        </is>
      </c>
      <c r="B67" s="16" t="inlineStr">
        <is>
          <t>states[D].ETC_cents</t>
        </is>
      </c>
      <c r="C67" s="16" t="inlineStr">
        <is>
          <t>§7.1, §8.2, §12.1, I05, I09, I10, I12, I13</t>
        </is>
      </c>
      <c r="D67" s="16" t="inlineStr">
        <is>
          <t>centavos BRL</t>
        </is>
      </c>
      <c r="E67" s="16" t="inlineStr">
        <is>
          <t>=</t>
        </is>
      </c>
      <c r="F67" s="32" t="n">
        <v>6000000</v>
      </c>
      <c r="G67" s="33" t="n"/>
      <c r="H67" s="32">
        <f>IF(AND(ISNUMBER(F67),ISNUMBER(G67)),G67-F67,"")</f>
        <v/>
      </c>
      <c r="I67" s="16">
        <f>IF(COUNTBLANK(G67)=1,"Não executado",IF(ISNUMBER(F67)&lt;&gt;ISNUMBER(G67),"Tipo incompatível",IF(IF(E67="&lt;&gt;",G67&lt;&gt;F67,G67=F67),IF(OR(J67="",K67="",NOT(ISNUMBER(L67)),L67&lt;=0),"Evidência pendente","Compatível"),"Divergente")))</f>
        <v/>
      </c>
      <c r="J67" s="12" t="str"/>
      <c r="K67" s="12" t="str"/>
      <c r="L67" s="28" t="n"/>
      <c r="M67" s="16" t="str"/>
      <c r="N67" s="16" t="str"/>
      <c r="O67" s="16" t="str"/>
      <c r="P67" s="16" t="str"/>
      <c r="Q67" s="16" t="str"/>
    </row>
    <row r="68" ht="42" customHeight="1">
      <c r="A68" s="16" t="inlineStr">
        <is>
          <t>CT05</t>
        </is>
      </c>
      <c r="B68" s="16" t="inlineStr">
        <is>
          <t>states[D].advance_available_cents</t>
        </is>
      </c>
      <c r="C68" s="16" t="inlineStr">
        <is>
          <t>§7.1, §8.2, §12.1, I05, I09, I10, I12, I13</t>
        </is>
      </c>
      <c r="D68" s="16" t="inlineStr">
        <is>
          <t>centavos BRL</t>
        </is>
      </c>
      <c r="E68" s="16" t="inlineStr">
        <is>
          <t>=</t>
        </is>
      </c>
      <c r="F68" s="32" t="n">
        <v>0</v>
      </c>
      <c r="G68" s="33" t="n"/>
      <c r="H68" s="32">
        <f>IF(AND(ISNUMBER(F68),ISNUMBER(G68)),G68-F68,"")</f>
        <v/>
      </c>
      <c r="I68" s="16">
        <f>IF(COUNTBLANK(G68)=1,"Não executado",IF(ISNUMBER(F68)&lt;&gt;ISNUMBER(G68),"Tipo incompatível",IF(IF(E68="&lt;&gt;",G68&lt;&gt;F68,G68=F68),IF(OR(J68="",K68="",NOT(ISNUMBER(L68)),L68&lt;=0),"Evidência pendente","Compatível"),"Divergente")))</f>
        <v/>
      </c>
      <c r="J68" s="12" t="str"/>
      <c r="K68" s="12" t="str"/>
      <c r="L68" s="28" t="n"/>
      <c r="M68" s="16" t="str"/>
      <c r="N68" s="16" t="str"/>
      <c r="O68" s="16" t="str"/>
      <c r="P68" s="16" t="str"/>
      <c r="Q68" s="16" t="str"/>
    </row>
    <row r="69" ht="42" customHeight="1">
      <c r="A69" s="16" t="inlineStr">
        <is>
          <t>CT05</t>
        </is>
      </c>
      <c r="B69" s="16" t="inlineStr">
        <is>
          <t>states[E].H_cents</t>
        </is>
      </c>
      <c r="C69" s="16" t="inlineStr">
        <is>
          <t>§7.1, §8.2, §12.1, I05, I09, I10, I12, I13</t>
        </is>
      </c>
      <c r="D69" s="16" t="inlineStr">
        <is>
          <t>centavos BRL</t>
        </is>
      </c>
      <c r="E69" s="16" t="inlineStr">
        <is>
          <t>=</t>
        </is>
      </c>
      <c r="F69" s="32" t="n">
        <v>4000000</v>
      </c>
      <c r="G69" s="33" t="n"/>
      <c r="H69" s="32">
        <f>IF(AND(ISNUMBER(F69),ISNUMBER(G69)),G69-F69,"")</f>
        <v/>
      </c>
      <c r="I69" s="16">
        <f>IF(COUNTBLANK(G69)=1,"Não executado",IF(ISNUMBER(F69)&lt;&gt;ISNUMBER(G69),"Tipo incompatível",IF(IF(E69="&lt;&gt;",G69&lt;&gt;F69,G69=F69),IF(OR(J69="",K69="",NOT(ISNUMBER(L69)),L69&lt;=0),"Evidência pendente","Compatível"),"Divergente")))</f>
        <v/>
      </c>
      <c r="J69" s="12" t="str"/>
      <c r="K69" s="12" t="str"/>
      <c r="L69" s="28" t="n"/>
      <c r="M69" s="16" t="str"/>
      <c r="N69" s="16" t="str"/>
      <c r="O69" s="16" t="str"/>
      <c r="P69" s="16" t="str"/>
      <c r="Q69" s="16" t="str"/>
    </row>
    <row r="70" ht="42" customHeight="1">
      <c r="A70" s="16" t="inlineStr">
        <is>
          <t>CT05</t>
        </is>
      </c>
      <c r="B70" s="16" t="inlineStr">
        <is>
          <t>states[E].R_cents</t>
        </is>
      </c>
      <c r="C70" s="16" t="inlineStr">
        <is>
          <t>§7.1, §8.2, §12.1, I05, I09, I10, I12, I13</t>
        </is>
      </c>
      <c r="D70" s="16" t="inlineStr">
        <is>
          <t>centavos BRL</t>
        </is>
      </c>
      <c r="E70" s="16" t="inlineStr">
        <is>
          <t>=</t>
        </is>
      </c>
      <c r="F70" s="32" t="n">
        <v>0</v>
      </c>
      <c r="G70" s="33" t="n"/>
      <c r="H70" s="32">
        <f>IF(AND(ISNUMBER(F70),ISNUMBER(G70)),G70-F70,"")</f>
        <v/>
      </c>
      <c r="I70" s="16">
        <f>IF(COUNTBLANK(G70)=1,"Não executado",IF(ISNUMBER(F70)&lt;&gt;ISNUMBER(G70),"Tipo incompatível",IF(IF(E70="&lt;&gt;",G70&lt;&gt;F70,G70=F70),IF(OR(J70="",K70="",NOT(ISNUMBER(L70)),L70&lt;=0),"Evidência pendente","Compatível"),"Divergente")))</f>
        <v/>
      </c>
      <c r="J70" s="12" t="str"/>
      <c r="K70" s="12" t="str"/>
      <c r="L70" s="28" t="n"/>
      <c r="M70" s="16" t="str"/>
      <c r="N70" s="16" t="str"/>
      <c r="O70" s="16" t="str"/>
      <c r="P70" s="16" t="str"/>
      <c r="Q70" s="16" t="str"/>
    </row>
    <row r="71" ht="42" customHeight="1">
      <c r="A71" s="16" t="inlineStr">
        <is>
          <t>CT05</t>
        </is>
      </c>
      <c r="B71" s="16" t="inlineStr">
        <is>
          <t>states[E].C_cents</t>
        </is>
      </c>
      <c r="C71" s="16" t="inlineStr">
        <is>
          <t>§7.1, §8.2, §12.1, I05, I09, I10, I12, I13</t>
        </is>
      </c>
      <c r="D71" s="16" t="inlineStr">
        <is>
          <t>centavos BRL</t>
        </is>
      </c>
      <c r="E71" s="16" t="inlineStr">
        <is>
          <t>=</t>
        </is>
      </c>
      <c r="F71" s="32" t="n">
        <v>6000000</v>
      </c>
      <c r="G71" s="33" t="n"/>
      <c r="H71" s="32">
        <f>IF(AND(ISNUMBER(F71),ISNUMBER(G71)),G71-F71,"")</f>
        <v/>
      </c>
      <c r="I71" s="16">
        <f>IF(COUNTBLANK(G71)=1,"Não executado",IF(ISNUMBER(F71)&lt;&gt;ISNUMBER(G71),"Tipo incompatível",IF(IF(E71="&lt;&gt;",G71&lt;&gt;F71,G71=F71),IF(OR(J71="",K71="",NOT(ISNUMBER(L71)),L71&lt;=0),"Evidência pendente","Compatível"),"Divergente")))</f>
        <v/>
      </c>
      <c r="J71" s="12" t="str"/>
      <c r="K71" s="12" t="str"/>
      <c r="L71" s="28" t="n"/>
      <c r="M71" s="16" t="str"/>
      <c r="N71" s="16" t="str"/>
      <c r="O71" s="16" t="str"/>
      <c r="P71" s="16" t="str"/>
      <c r="Q71" s="16" t="str"/>
    </row>
    <row r="72" ht="42" customHeight="1">
      <c r="A72" s="16" t="inlineStr">
        <is>
          <t>CT05</t>
        </is>
      </c>
      <c r="B72" s="16" t="inlineStr">
        <is>
          <t>states[E].Q_cents</t>
        </is>
      </c>
      <c r="C72" s="16" t="inlineStr">
        <is>
          <t>§7.1, §8.2, §12.1, I05, I09, I10, I12, I13</t>
        </is>
      </c>
      <c r="D72" s="16" t="inlineStr">
        <is>
          <t>centavos BRL</t>
        </is>
      </c>
      <c r="E72" s="16" t="inlineStr">
        <is>
          <t>=</t>
        </is>
      </c>
      <c r="F72" s="32" t="n">
        <v>6000000</v>
      </c>
      <c r="G72" s="33" t="n"/>
      <c r="H72" s="32">
        <f>IF(AND(ISNUMBER(F72),ISNUMBER(G72)),G72-F72,"")</f>
        <v/>
      </c>
      <c r="I72" s="16">
        <f>IF(COUNTBLANK(G72)=1,"Não executado",IF(ISNUMBER(F72)&lt;&gt;ISNUMBER(G72),"Tipo incompatível",IF(IF(E72="&lt;&gt;",G72&lt;&gt;F72,G72=F72),IF(OR(J72="",K72="",NOT(ISNUMBER(L72)),L72&lt;=0),"Evidência pendente","Compatível"),"Divergente")))</f>
        <v/>
      </c>
      <c r="J72" s="12" t="str"/>
      <c r="K72" s="12" t="str"/>
      <c r="L72" s="28" t="n"/>
      <c r="M72" s="16" t="str"/>
      <c r="N72" s="16" t="str"/>
      <c r="O72" s="16" t="str"/>
      <c r="P72" s="16" t="str"/>
      <c r="Q72" s="16" t="str"/>
    </row>
    <row r="73" ht="42" customHeight="1">
      <c r="A73" s="16" t="inlineStr">
        <is>
          <t>CT05</t>
        </is>
      </c>
      <c r="B73" s="16" t="inlineStr">
        <is>
          <t>states[E].cost_cents</t>
        </is>
      </c>
      <c r="C73" s="16" t="inlineStr">
        <is>
          <t>§7.1, §8.2, §12.1, I05, I09, I10, I12, I13</t>
        </is>
      </c>
      <c r="D73" s="16" t="inlineStr">
        <is>
          <t>centavos BRL</t>
        </is>
      </c>
      <c r="E73" s="16" t="inlineStr">
        <is>
          <t>=</t>
        </is>
      </c>
      <c r="F73" s="32" t="n">
        <v>4000000</v>
      </c>
      <c r="G73" s="33" t="n"/>
      <c r="H73" s="32">
        <f>IF(AND(ISNUMBER(F73),ISNUMBER(G73)),G73-F73,"")</f>
        <v/>
      </c>
      <c r="I73" s="16">
        <f>IF(COUNTBLANK(G73)=1,"Não executado",IF(ISNUMBER(F73)&lt;&gt;ISNUMBER(G73),"Tipo incompatível",IF(IF(E73="&lt;&gt;",G73&lt;&gt;F73,G73=F73),IF(OR(J73="",K73="",NOT(ISNUMBER(L73)),L73&lt;=0),"Evidência pendente","Compatível"),"Divergente")))</f>
        <v/>
      </c>
      <c r="J73" s="12" t="str"/>
      <c r="K73" s="12" t="str"/>
      <c r="L73" s="28" t="n"/>
      <c r="M73" s="16" t="str"/>
      <c r="N73" s="16" t="str"/>
      <c r="O73" s="16" t="str"/>
      <c r="P73" s="16" t="str"/>
      <c r="Q73" s="16" t="str"/>
    </row>
    <row r="74" ht="42" customHeight="1">
      <c r="A74" s="16" t="inlineStr">
        <is>
          <t>CT05</t>
        </is>
      </c>
      <c r="B74" s="16" t="inlineStr">
        <is>
          <t>states[E].ETC_cents</t>
        </is>
      </c>
      <c r="C74" s="16" t="inlineStr">
        <is>
          <t>§7.1, §8.2, §12.1, I05, I09, I10, I12, I13</t>
        </is>
      </c>
      <c r="D74" s="16" t="inlineStr">
        <is>
          <t>centavos BRL</t>
        </is>
      </c>
      <c r="E74" s="16" t="inlineStr">
        <is>
          <t>=</t>
        </is>
      </c>
      <c r="F74" s="32" t="n">
        <v>6000000</v>
      </c>
      <c r="G74" s="33" t="n"/>
      <c r="H74" s="32">
        <f>IF(AND(ISNUMBER(F74),ISNUMBER(G74)),G74-F74,"")</f>
        <v/>
      </c>
      <c r="I74" s="16">
        <f>IF(COUNTBLANK(G74)=1,"Não executado",IF(ISNUMBER(F74)&lt;&gt;ISNUMBER(G74),"Tipo incompatível",IF(IF(E74="&lt;&gt;",G74&lt;&gt;F74,G74=F74),IF(OR(J74="",K74="",NOT(ISNUMBER(L74)),L74&lt;=0),"Evidência pendente","Compatível"),"Divergente")))</f>
        <v/>
      </c>
      <c r="J74" s="12" t="str"/>
      <c r="K74" s="12" t="str"/>
      <c r="L74" s="28" t="n"/>
      <c r="M74" s="16" t="str"/>
      <c r="N74" s="16" t="str"/>
      <c r="O74" s="16" t="str"/>
      <c r="P74" s="16" t="str"/>
      <c r="Q74" s="16" t="str"/>
    </row>
    <row r="75" ht="42" customHeight="1">
      <c r="A75" s="16" t="inlineStr">
        <is>
          <t>CT05</t>
        </is>
      </c>
      <c r="B75" s="16" t="inlineStr">
        <is>
          <t>states[E].advance_available_cents</t>
        </is>
      </c>
      <c r="C75" s="16" t="inlineStr">
        <is>
          <t>§7.1, §8.2, §12.1, I05, I09, I10, I12, I13</t>
        </is>
      </c>
      <c r="D75" s="16" t="inlineStr">
        <is>
          <t>centavos BRL</t>
        </is>
      </c>
      <c r="E75" s="16" t="inlineStr">
        <is>
          <t>=</t>
        </is>
      </c>
      <c r="F75" s="32" t="n">
        <v>0</v>
      </c>
      <c r="G75" s="33" t="n"/>
      <c r="H75" s="32">
        <f>IF(AND(ISNUMBER(F75),ISNUMBER(G75)),G75-F75,"")</f>
        <v/>
      </c>
      <c r="I75" s="16">
        <f>IF(COUNTBLANK(G75)=1,"Não executado",IF(ISNUMBER(F75)&lt;&gt;ISNUMBER(G75),"Tipo incompatível",IF(IF(E75="&lt;&gt;",G75&lt;&gt;F75,G75=F75),IF(OR(J75="",K75="",NOT(ISNUMBER(L75)),L75&lt;=0),"Evidência pendente","Compatível"),"Divergente")))</f>
        <v/>
      </c>
      <c r="J75" s="12" t="str"/>
      <c r="K75" s="12" t="str"/>
      <c r="L75" s="28" t="n"/>
      <c r="M75" s="16" t="str"/>
      <c r="N75" s="16" t="str"/>
      <c r="O75" s="16" t="str"/>
      <c r="P75" s="16" t="str"/>
      <c r="Q75" s="16" t="str"/>
    </row>
    <row r="76" ht="42" customHeight="1">
      <c r="A76" s="16" t="inlineStr">
        <is>
          <t>CT05</t>
        </is>
      </c>
      <c r="B76" s="16" t="inlineStr">
        <is>
          <t>new_cash_on_application_cents</t>
        </is>
      </c>
      <c r="C76" s="16" t="inlineStr">
        <is>
          <t>§7.1, §8.2, §12.1, I05, I09, I10, I12, I13</t>
        </is>
      </c>
      <c r="D76" s="16" t="inlineStr">
        <is>
          <t>centavos BRL</t>
        </is>
      </c>
      <c r="E76" s="16" t="inlineStr">
        <is>
          <t>=</t>
        </is>
      </c>
      <c r="F76" s="32" t="n">
        <v>0</v>
      </c>
      <c r="G76" s="33" t="n"/>
      <c r="H76" s="32">
        <f>IF(AND(ISNUMBER(F76),ISNUMBER(G76)),G76-F76,"")</f>
        <v/>
      </c>
      <c r="I76" s="16">
        <f>IF(COUNTBLANK(G76)=1,"Não executado",IF(ISNUMBER(F76)&lt;&gt;ISNUMBER(G76),"Tipo incompatível",IF(IF(E76="&lt;&gt;",G76&lt;&gt;F76,G76=F76),IF(OR(J76="",K76="",NOT(ISNUMBER(L76)),L76&lt;=0),"Evidência pendente","Compatível"),"Divergente")))</f>
        <v/>
      </c>
      <c r="J76" s="12" t="str"/>
      <c r="K76" s="12" t="str"/>
      <c r="L76" s="28" t="n"/>
      <c r="M76" s="16" t="str"/>
      <c r="N76" s="16" t="str"/>
      <c r="O76" s="16" t="str"/>
      <c r="P76" s="16" t="str"/>
      <c r="Q76" s="16" t="str"/>
    </row>
    <row r="77" ht="112" customHeight="1">
      <c r="A77" s="20" t="inlineStr">
        <is>
          <t>CT06</t>
        </is>
      </c>
      <c r="B77" s="20" t="inlineStr">
        <is>
          <t>initial_R_cents</t>
        </is>
      </c>
      <c r="C77" s="20" t="inlineStr">
        <is>
          <t>§8.2, I03, I05, I08, I10, I12</t>
        </is>
      </c>
      <c r="D77" s="20" t="inlineStr">
        <is>
          <t>centavos BRL</t>
        </is>
      </c>
      <c r="E77" s="20" t="inlineStr">
        <is>
          <t>=</t>
        </is>
      </c>
      <c r="F77" s="29" t="n">
        <v>10000000</v>
      </c>
      <c r="G77" s="30" t="n"/>
      <c r="H77" s="29">
        <f>IF(AND(ISNUMBER(F77),ISNUMBER(G77)),G77-F77,"")</f>
        <v/>
      </c>
      <c r="I77" s="20">
        <f>IF(COUNTBLANK(G77)=1,"Não executado",IF(ISNUMBER(F77)&lt;&gt;ISNUMBER(G77),"Tipo incompatível",IF(IF(E77="&lt;&gt;",G77&lt;&gt;F77,G77=F77),IF(OR(J77="",K77="",NOT(ISNUMBER(L77)),L77&lt;=0),"Evidência pendente","Compatível"),"Divergente")))</f>
        <v/>
      </c>
      <c r="J77" s="23" t="str"/>
      <c r="K77" s="23" t="str"/>
      <c r="L77" s="31" t="n"/>
      <c r="M77" s="20" t="inlineStr">
        <is>
          <t>Retenção contratual e tributo retido sem soma do documento pai</t>
        </is>
      </c>
      <c r="N77" s="20" t="inlineStr">
        <is>
          <t>{"contract_value_cents": 10000000, "gross_measurement_cents": 10000000, "supplier_component_cents": 8500000, "contract_retention_cents": 1000000, "withheld_tax_cents": 500000}</t>
        </is>
      </c>
      <c r="O77" s="20" t="inlineStr">
        <is>
          <t>Desdobrar o bruto em fornecedor, retenção e tributo.
Pagar 85.000,00 ao fornecedor.
Recolher 5.000,00 ao destinatário tributário.
Liberar e pagar 10.000,00 de retenção após comprovar a condição contratual de liberação.</t>
        </is>
      </c>
      <c r="P77" s="20" t="inlineStr">
        <is>
          <t>85.000,00 + 10.000,00 + 5.000,00 = 100.000,00. Após pagar fornecedor: R = 10.000,00 + 5.000,00 = 15.000,00.
Após tributo: C = 100.000,00 − 90.000,00 − 10.000,00 = 0,00. A retenção é parte de R, nunca acréscimo a ele.</t>
        </is>
      </c>
      <c r="Q77" s="20" t="inlineStr">
        <is>
          <t>D08: exemplo didático com preço integral de 100.000,00, retenção contratual de 10% e tributária de 5%; nenhum tributo recuperável. Não são alíquotas recomendadas. Todo o serviço foi aceito.
Cabeçalho não participa como quarta obrigação. Cada componente mantém credor e exigibilidade próprios.</t>
        </is>
      </c>
    </row>
    <row r="78" ht="42" customHeight="1">
      <c r="A78" s="16" t="inlineStr">
        <is>
          <t>CT06</t>
        </is>
      </c>
      <c r="B78" s="16" t="inlineStr">
        <is>
          <t>initial_C_cents</t>
        </is>
      </c>
      <c r="C78" s="16" t="inlineStr">
        <is>
          <t>§8.2, I03, I05, I08, I10, I12</t>
        </is>
      </c>
      <c r="D78" s="16" t="inlineStr">
        <is>
          <t>centavos BRL</t>
        </is>
      </c>
      <c r="E78" s="16" t="inlineStr">
        <is>
          <t>=</t>
        </is>
      </c>
      <c r="F78" s="32" t="n">
        <v>0</v>
      </c>
      <c r="G78" s="33" t="n"/>
      <c r="H78" s="32">
        <f>IF(AND(ISNUMBER(F78),ISNUMBER(G78)),G78-F78,"")</f>
        <v/>
      </c>
      <c r="I78" s="16">
        <f>IF(COUNTBLANK(G78)=1,"Não executado",IF(ISNUMBER(F78)&lt;&gt;ISNUMBER(G78),"Tipo incompatível",IF(IF(E78="&lt;&gt;",G78&lt;&gt;F78,G78=F78),IF(OR(J78="",K78="",NOT(ISNUMBER(L78)),L78&lt;=0),"Evidência pendente","Compatível"),"Divergente")))</f>
        <v/>
      </c>
      <c r="J78" s="12" t="str"/>
      <c r="K78" s="12" t="str"/>
      <c r="L78" s="28" t="n"/>
      <c r="M78" s="16" t="str"/>
      <c r="N78" s="16" t="str"/>
      <c r="O78" s="16" t="str"/>
      <c r="P78" s="16" t="str"/>
      <c r="Q78" s="16" t="str"/>
    </row>
    <row r="79" ht="42" customHeight="1">
      <c r="A79" s="16" t="inlineStr">
        <is>
          <t>CT06</t>
        </is>
      </c>
      <c r="B79" s="16" t="inlineStr">
        <is>
          <t>initial_Q_cents</t>
        </is>
      </c>
      <c r="C79" s="16" t="inlineStr">
        <is>
          <t>§8.2, I03, I05, I08, I10, I12</t>
        </is>
      </c>
      <c r="D79" s="16" t="inlineStr">
        <is>
          <t>centavos BRL</t>
        </is>
      </c>
      <c r="E79" s="16" t="inlineStr">
        <is>
          <t>=</t>
        </is>
      </c>
      <c r="F79" s="32" t="n">
        <v>10000000</v>
      </c>
      <c r="G79" s="33" t="n"/>
      <c r="H79" s="32">
        <f>IF(AND(ISNUMBER(F79),ISNUMBER(G79)),G79-F79,"")</f>
        <v/>
      </c>
      <c r="I79" s="16">
        <f>IF(COUNTBLANK(G79)=1,"Não executado",IF(ISNUMBER(F79)&lt;&gt;ISNUMBER(G79),"Tipo incompatível",IF(IF(E79="&lt;&gt;",G79&lt;&gt;F79,G79=F79),IF(OR(J79="",K79="",NOT(ISNUMBER(L79)),L79&lt;=0),"Evidência pendente","Compatível"),"Divergente")))</f>
        <v/>
      </c>
      <c r="J79" s="12" t="str"/>
      <c r="K79" s="12" t="str"/>
      <c r="L79" s="28" t="n"/>
      <c r="M79" s="16" t="str"/>
      <c r="N79" s="16" t="str"/>
      <c r="O79" s="16" t="str"/>
      <c r="P79" s="16" t="str"/>
      <c r="Q79" s="16" t="str"/>
    </row>
    <row r="80" ht="42" customHeight="1">
      <c r="A80" s="16" t="inlineStr">
        <is>
          <t>CT06</t>
        </is>
      </c>
      <c r="B80" s="16" t="inlineStr">
        <is>
          <t>after_supplier_R_cents</t>
        </is>
      </c>
      <c r="C80" s="16" t="inlineStr">
        <is>
          <t>§8.2, I03, I05, I08, I10, I12</t>
        </is>
      </c>
      <c r="D80" s="16" t="inlineStr">
        <is>
          <t>centavos BRL</t>
        </is>
      </c>
      <c r="E80" s="16" t="inlineStr">
        <is>
          <t>=</t>
        </is>
      </c>
      <c r="F80" s="32" t="n">
        <v>1500000</v>
      </c>
      <c r="G80" s="33" t="n"/>
      <c r="H80" s="32">
        <f>IF(AND(ISNUMBER(F80),ISNUMBER(G80)),G80-F80,"")</f>
        <v/>
      </c>
      <c r="I80" s="16">
        <f>IF(COUNTBLANK(G80)=1,"Não executado",IF(ISNUMBER(F80)&lt;&gt;ISNUMBER(G80),"Tipo incompatível",IF(IF(E80="&lt;&gt;",G80&lt;&gt;F80,G80=F80),IF(OR(J80="",K80="",NOT(ISNUMBER(L80)),L80&lt;=0),"Evidência pendente","Compatível"),"Divergente")))</f>
        <v/>
      </c>
      <c r="J80" s="12" t="str"/>
      <c r="K80" s="12" t="str"/>
      <c r="L80" s="28" t="n"/>
      <c r="M80" s="16" t="str"/>
      <c r="N80" s="16" t="str"/>
      <c r="O80" s="16" t="str"/>
      <c r="P80" s="16" t="str"/>
      <c r="Q80" s="16" t="str"/>
    </row>
    <row r="81" ht="42" customHeight="1">
      <c r="A81" s="16" t="inlineStr">
        <is>
          <t>CT06</t>
        </is>
      </c>
      <c r="B81" s="16" t="inlineStr">
        <is>
          <t>after_supplier_retention_cents</t>
        </is>
      </c>
      <c r="C81" s="16" t="inlineStr">
        <is>
          <t>§8.2, I03, I05, I08, I10, I12</t>
        </is>
      </c>
      <c r="D81" s="16" t="inlineStr">
        <is>
          <t>centavos BRL</t>
        </is>
      </c>
      <c r="E81" s="16" t="inlineStr">
        <is>
          <t>=</t>
        </is>
      </c>
      <c r="F81" s="32" t="n">
        <v>1000000</v>
      </c>
      <c r="G81" s="33" t="n"/>
      <c r="H81" s="32">
        <f>IF(AND(ISNUMBER(F81),ISNUMBER(G81)),G81-F81,"")</f>
        <v/>
      </c>
      <c r="I81" s="16">
        <f>IF(COUNTBLANK(G81)=1,"Não executado",IF(ISNUMBER(F81)&lt;&gt;ISNUMBER(G81),"Tipo incompatível",IF(IF(E81="&lt;&gt;",G81&lt;&gt;F81,G81=F81),IF(OR(J81="",K81="",NOT(ISNUMBER(L81)),L81&lt;=0),"Evidência pendente","Compatível"),"Divergente")))</f>
        <v/>
      </c>
      <c r="J81" s="12" t="str"/>
      <c r="K81" s="12" t="str"/>
      <c r="L81" s="28" t="n"/>
      <c r="M81" s="16" t="str"/>
      <c r="N81" s="16" t="str"/>
      <c r="O81" s="16" t="str"/>
      <c r="P81" s="16" t="str"/>
      <c r="Q81" s="16" t="str"/>
    </row>
    <row r="82" ht="42" customHeight="1">
      <c r="A82" s="16" t="inlineStr">
        <is>
          <t>CT06</t>
        </is>
      </c>
      <c r="B82" s="16" t="inlineStr">
        <is>
          <t>after_tax_R_cents</t>
        </is>
      </c>
      <c r="C82" s="16" t="inlineStr">
        <is>
          <t>§8.2, I03, I05, I08, I10, I12</t>
        </is>
      </c>
      <c r="D82" s="16" t="inlineStr">
        <is>
          <t>centavos BRL</t>
        </is>
      </c>
      <c r="E82" s="16" t="inlineStr">
        <is>
          <t>=</t>
        </is>
      </c>
      <c r="F82" s="32" t="n">
        <v>1000000</v>
      </c>
      <c r="G82" s="33" t="n"/>
      <c r="H82" s="32">
        <f>IF(AND(ISNUMBER(F82),ISNUMBER(G82)),G82-F82,"")</f>
        <v/>
      </c>
      <c r="I82" s="16">
        <f>IF(COUNTBLANK(G82)=1,"Não executado",IF(ISNUMBER(F82)&lt;&gt;ISNUMBER(G82),"Tipo incompatível",IF(IF(E82="&lt;&gt;",G82&lt;&gt;F82,G82=F82),IF(OR(J82="",K82="",NOT(ISNUMBER(L82)),L82&lt;=0),"Evidência pendente","Compatível"),"Divergente")))</f>
        <v/>
      </c>
      <c r="J82" s="12" t="str"/>
      <c r="K82" s="12" t="str"/>
      <c r="L82" s="28" t="n"/>
      <c r="M82" s="16" t="str"/>
      <c r="N82" s="16" t="str"/>
      <c r="O82" s="16" t="str"/>
      <c r="P82" s="16" t="str"/>
      <c r="Q82" s="16" t="str"/>
    </row>
    <row r="83" ht="42" customHeight="1">
      <c r="A83" s="16" t="inlineStr">
        <is>
          <t>CT06</t>
        </is>
      </c>
      <c r="B83" s="16" t="inlineStr">
        <is>
          <t>after_tax_H_cents</t>
        </is>
      </c>
      <c r="C83" s="16" t="inlineStr">
        <is>
          <t>§8.2, I03, I05, I08, I10, I12</t>
        </is>
      </c>
      <c r="D83" s="16" t="inlineStr">
        <is>
          <t>centavos BRL</t>
        </is>
      </c>
      <c r="E83" s="16" t="inlineStr">
        <is>
          <t>=</t>
        </is>
      </c>
      <c r="F83" s="32" t="n">
        <v>9000000</v>
      </c>
      <c r="G83" s="33" t="n"/>
      <c r="H83" s="32">
        <f>IF(AND(ISNUMBER(F83),ISNUMBER(G83)),G83-F83,"")</f>
        <v/>
      </c>
      <c r="I83" s="16">
        <f>IF(COUNTBLANK(G83)=1,"Não executado",IF(ISNUMBER(F83)&lt;&gt;ISNUMBER(G83),"Tipo incompatível",IF(IF(E83="&lt;&gt;",G83&lt;&gt;F83,G83=F83),IF(OR(J83="",K83="",NOT(ISNUMBER(L83)),L83&lt;=0),"Evidência pendente","Compatível"),"Divergente")))</f>
        <v/>
      </c>
      <c r="J83" s="12" t="str"/>
      <c r="K83" s="12" t="str"/>
      <c r="L83" s="28" t="n"/>
      <c r="M83" s="16" t="str"/>
      <c r="N83" s="16" t="str"/>
      <c r="O83" s="16" t="str"/>
      <c r="P83" s="16" t="str"/>
      <c r="Q83" s="16" t="str"/>
    </row>
    <row r="84" ht="42" customHeight="1">
      <c r="A84" s="16" t="inlineStr">
        <is>
          <t>CT06</t>
        </is>
      </c>
      <c r="B84" s="16" t="inlineStr">
        <is>
          <t>final_R_cents</t>
        </is>
      </c>
      <c r="C84" s="16" t="inlineStr">
        <is>
          <t>§8.2, I03, I05, I08, I10, I12</t>
        </is>
      </c>
      <c r="D84" s="16" t="inlineStr">
        <is>
          <t>centavos BRL</t>
        </is>
      </c>
      <c r="E84" s="16" t="inlineStr">
        <is>
          <t>=</t>
        </is>
      </c>
      <c r="F84" s="32" t="n">
        <v>0</v>
      </c>
      <c r="G84" s="33" t="n"/>
      <c r="H84" s="32">
        <f>IF(AND(ISNUMBER(F84),ISNUMBER(G84)),G84-F84,"")</f>
        <v/>
      </c>
      <c r="I84" s="16">
        <f>IF(COUNTBLANK(G84)=1,"Não executado",IF(ISNUMBER(F84)&lt;&gt;ISNUMBER(G84),"Tipo incompatível",IF(IF(E84="&lt;&gt;",G84&lt;&gt;F84,G84=F84),IF(OR(J84="",K84="",NOT(ISNUMBER(L84)),L84&lt;=0),"Evidência pendente","Compatível"),"Divergente")))</f>
        <v/>
      </c>
      <c r="J84" s="12" t="str"/>
      <c r="K84" s="12" t="str"/>
      <c r="L84" s="28" t="n"/>
      <c r="M84" s="16" t="str"/>
      <c r="N84" s="16" t="str"/>
      <c r="O84" s="16" t="str"/>
      <c r="P84" s="16" t="str"/>
      <c r="Q84" s="16" t="str"/>
    </row>
    <row r="85" ht="42" customHeight="1">
      <c r="A85" s="16" t="inlineStr">
        <is>
          <t>CT06</t>
        </is>
      </c>
      <c r="B85" s="16" t="inlineStr">
        <is>
          <t>final_H_cents</t>
        </is>
      </c>
      <c r="C85" s="16" t="inlineStr">
        <is>
          <t>§8.2, I03, I05, I08, I10, I12</t>
        </is>
      </c>
      <c r="D85" s="16" t="inlineStr">
        <is>
          <t>centavos BRL</t>
        </is>
      </c>
      <c r="E85" s="16" t="inlineStr">
        <is>
          <t>=</t>
        </is>
      </c>
      <c r="F85" s="32" t="n">
        <v>10000000</v>
      </c>
      <c r="G85" s="33" t="n"/>
      <c r="H85" s="32">
        <f>IF(AND(ISNUMBER(F85),ISNUMBER(G85)),G85-F85,"")</f>
        <v/>
      </c>
      <c r="I85" s="16">
        <f>IF(COUNTBLANK(G85)=1,"Não executado",IF(ISNUMBER(F85)&lt;&gt;ISNUMBER(G85),"Tipo incompatível",IF(IF(E85="&lt;&gt;",G85&lt;&gt;F85,G85=F85),IF(OR(J85="",K85="",NOT(ISNUMBER(L85)),L85&lt;=0),"Evidência pendente","Compatível"),"Divergente")))</f>
        <v/>
      </c>
      <c r="J85" s="12" t="str"/>
      <c r="K85" s="12" t="str"/>
      <c r="L85" s="28" t="n"/>
      <c r="M85" s="16" t="str"/>
      <c r="N85" s="16" t="str"/>
      <c r="O85" s="16" t="str"/>
      <c r="P85" s="16" t="str"/>
      <c r="Q85" s="16" t="str"/>
    </row>
    <row r="86" ht="42" customHeight="1">
      <c r="A86" s="16" t="inlineStr">
        <is>
          <t>CT06</t>
        </is>
      </c>
      <c r="B86" s="16" t="inlineStr">
        <is>
          <t>total_cash_cents</t>
        </is>
      </c>
      <c r="C86" s="16" t="inlineStr">
        <is>
          <t>§8.2, I03, I05, I08, I10, I12</t>
        </is>
      </c>
      <c r="D86" s="16" t="inlineStr">
        <is>
          <t>centavos BRL</t>
        </is>
      </c>
      <c r="E86" s="16" t="inlineStr">
        <is>
          <t>=</t>
        </is>
      </c>
      <c r="F86" s="32" t="n">
        <v>10000000</v>
      </c>
      <c r="G86" s="33" t="n"/>
      <c r="H86" s="32">
        <f>IF(AND(ISNUMBER(F86),ISNUMBER(G86)),G86-F86,"")</f>
        <v/>
      </c>
      <c r="I86" s="16">
        <f>IF(COUNTBLANK(G86)=1,"Não executado",IF(ISNUMBER(F86)&lt;&gt;ISNUMBER(G86),"Tipo incompatível",IF(IF(E86="&lt;&gt;",G86&lt;&gt;F86,G86=F86),IF(OR(J86="",K86="",NOT(ISNUMBER(L86)),L86&lt;=0),"Evidência pendente","Compatível"),"Divergente")))</f>
        <v/>
      </c>
      <c r="J86" s="12" t="str"/>
      <c r="K86" s="12" t="str"/>
      <c r="L86" s="28" t="n"/>
      <c r="M86" s="16" t="str"/>
      <c r="N86" s="16" t="str"/>
      <c r="O86" s="16" t="str"/>
      <c r="P86" s="16" t="str"/>
      <c r="Q86" s="16" t="str"/>
    </row>
    <row r="87" ht="42" customHeight="1">
      <c r="A87" s="16" t="inlineStr">
        <is>
          <t>CT06</t>
        </is>
      </c>
      <c r="B87" s="16" t="inlineStr">
        <is>
          <t>cost_cents</t>
        </is>
      </c>
      <c r="C87" s="16" t="inlineStr">
        <is>
          <t>§8.2, I03, I05, I08, I10, I12</t>
        </is>
      </c>
      <c r="D87" s="16" t="inlineStr">
        <is>
          <t>centavos BRL</t>
        </is>
      </c>
      <c r="E87" s="16" t="inlineStr">
        <is>
          <t>=</t>
        </is>
      </c>
      <c r="F87" s="32" t="n">
        <v>10000000</v>
      </c>
      <c r="G87" s="33" t="n"/>
      <c r="H87" s="32">
        <f>IF(AND(ISNUMBER(F87),ISNUMBER(G87)),G87-F87,"")</f>
        <v/>
      </c>
      <c r="I87" s="16">
        <f>IF(COUNTBLANK(G87)=1,"Não executado",IF(ISNUMBER(F87)&lt;&gt;ISNUMBER(G87),"Tipo incompatível",IF(IF(E87="&lt;&gt;",G87&lt;&gt;F87,G87=F87),IF(OR(J87="",K87="",NOT(ISNUMBER(L87)),L87&lt;=0),"Evidência pendente","Compatível"),"Divergente")))</f>
        <v/>
      </c>
      <c r="J87" s="12" t="str"/>
      <c r="K87" s="12" t="str"/>
      <c r="L87" s="28" t="n"/>
      <c r="M87" s="16" t="str"/>
      <c r="N87" s="16" t="str"/>
      <c r="O87" s="16" t="str"/>
      <c r="P87" s="16" t="str"/>
      <c r="Q87" s="16" t="str"/>
    </row>
    <row r="88" ht="112" customHeight="1">
      <c r="A88" s="20" t="inlineStr">
        <is>
          <t>CT07</t>
        </is>
      </c>
      <c r="B88" s="20" t="inlineStr">
        <is>
          <t>after_first_open_principal_cents</t>
        </is>
      </c>
      <c r="C88" s="20" t="inlineStr">
        <is>
          <t>§5, §8.3, §12.3, I02, I03, I10</t>
        </is>
      </c>
      <c r="D88" s="20" t="inlineStr">
        <is>
          <t>centavos BRL</t>
        </is>
      </c>
      <c r="E88" s="20" t="inlineStr">
        <is>
          <t>=</t>
        </is>
      </c>
      <c r="F88" s="29" t="n">
        <v>6000000</v>
      </c>
      <c r="G88" s="30" t="n"/>
      <c r="H88" s="29">
        <f>IF(AND(ISNUMBER(F88),ISNUMBER(G88)),G88-F88,"")</f>
        <v/>
      </c>
      <c r="I88" s="20">
        <f>IF(COUNTBLANK(G88)=1,"Não executado",IF(ISNUMBER(F88)&lt;&gt;ISNUMBER(G88),"Tipo incompatível",IF(IF(E88="&lt;&gt;",G88&lt;&gt;F88,G88=F88),IF(OR(J88="",K88="",NOT(ISNUMBER(L88)),L88&lt;=0),"Evidência pendente","Compatível"),"Divergente")))</f>
        <v/>
      </c>
      <c r="J88" s="23" t="str"/>
      <c r="K88" s="23" t="str"/>
      <c r="L88" s="31" t="n"/>
      <c r="M88" s="20" t="inlineStr">
        <is>
          <t>Parciais juros e desconto com componentes separados</t>
        </is>
      </c>
      <c r="N88" s="20" t="inlineStr">
        <is>
          <t>{"V_cents": 10000000, "principal_cents": 10000000, "first_payment_principal_cents": 4000000, "valid_discount_cents": 500000, "interest_cents": 200000, "second_payment_cents": 5700000}</t>
        </is>
      </c>
      <c r="O88" s="20" t="inlineStr">
        <is>
          <t>Pagar 40.000,00.
Conceder o desconto e constituir juros.
Pagar 57.000,00, sendo 55.000,00 de principal e 2.000,00 de juros.</t>
        </is>
      </c>
      <c r="P88" s="20" t="inlineStr">
        <is>
          <t>Segundo pagamento: 100.000,00 − 40.000,00 − 5.000,00 + 2.000,00 = 57.000,00.
Caixa total = 40.000,00 + 57.000,00 = 97.000,00. C = 100.000,00 − 95.000,00 − 5.000,00 = 0,00.</t>
        </is>
      </c>
      <c r="Q88" s="20" t="inlineStr">
        <is>
          <t>D06/D07: primeiro pagamento somente principal; desconto de quitação válido de 5.000,00; juros constituídos de 2.000,00; desconto não está embutido no preço V.
H não inclui os 2.000,00 de juros. O desconto não pode reduzir novamente um principal já líquido.</t>
        </is>
      </c>
    </row>
    <row r="89" ht="42" customHeight="1">
      <c r="A89" s="16" t="inlineStr">
        <is>
          <t>CT07</t>
        </is>
      </c>
      <c r="B89" s="16" t="inlineStr">
        <is>
          <t>second_principal_cents</t>
        </is>
      </c>
      <c r="C89" s="16" t="inlineStr">
        <is>
          <t>§5, §8.3, §12.3, I02, I03, I10</t>
        </is>
      </c>
      <c r="D89" s="16" t="inlineStr">
        <is>
          <t>centavos BRL</t>
        </is>
      </c>
      <c r="E89" s="16" t="inlineStr">
        <is>
          <t>=</t>
        </is>
      </c>
      <c r="F89" s="32" t="n">
        <v>5500000</v>
      </c>
      <c r="G89" s="33" t="n"/>
      <c r="H89" s="32">
        <f>IF(AND(ISNUMBER(F89),ISNUMBER(G89)),G89-F89,"")</f>
        <v/>
      </c>
      <c r="I89" s="16">
        <f>IF(COUNTBLANK(G89)=1,"Não executado",IF(ISNUMBER(F89)&lt;&gt;ISNUMBER(G89),"Tipo incompatível",IF(IF(E89="&lt;&gt;",G89&lt;&gt;F89,G89=F89),IF(OR(J89="",K89="",NOT(ISNUMBER(L89)),L89&lt;=0),"Evidência pendente","Compatível"),"Divergente")))</f>
        <v/>
      </c>
      <c r="J89" s="12" t="str"/>
      <c r="K89" s="12" t="str"/>
      <c r="L89" s="28" t="n"/>
      <c r="M89" s="16" t="str"/>
      <c r="N89" s="16" t="str"/>
      <c r="O89" s="16" t="str"/>
      <c r="P89" s="16" t="str"/>
      <c r="Q89" s="16" t="str"/>
    </row>
    <row r="90" ht="42" customHeight="1">
      <c r="A90" s="16" t="inlineStr">
        <is>
          <t>CT07</t>
        </is>
      </c>
      <c r="B90" s="16" t="inlineStr">
        <is>
          <t>final_open_cents</t>
        </is>
      </c>
      <c r="C90" s="16" t="inlineStr">
        <is>
          <t>§5, §8.3, §12.3, I02, I03, I10</t>
        </is>
      </c>
      <c r="D90" s="16" t="inlineStr">
        <is>
          <t>centavos BRL</t>
        </is>
      </c>
      <c r="E90" s="16" t="inlineStr">
        <is>
          <t>=</t>
        </is>
      </c>
      <c r="F90" s="32" t="n">
        <v>0</v>
      </c>
      <c r="G90" s="33" t="n"/>
      <c r="H90" s="32">
        <f>IF(AND(ISNUMBER(F90),ISNUMBER(G90)),G90-F90,"")</f>
        <v/>
      </c>
      <c r="I90" s="16">
        <f>IF(COUNTBLANK(G90)=1,"Não executado",IF(ISNUMBER(F90)&lt;&gt;ISNUMBER(G90),"Tipo incompatível",IF(IF(E90="&lt;&gt;",G90&lt;&gt;F90,G90=F90),IF(OR(J90="",K90="",NOT(ISNUMBER(L90)),L90&lt;=0),"Evidência pendente","Compatível"),"Divergente")))</f>
        <v/>
      </c>
      <c r="J90" s="12" t="str"/>
      <c r="K90" s="12" t="str"/>
      <c r="L90" s="28" t="n"/>
      <c r="M90" s="16" t="str"/>
      <c r="N90" s="16" t="str"/>
      <c r="O90" s="16" t="str"/>
      <c r="P90" s="16" t="str"/>
      <c r="Q90" s="16" t="str"/>
    </row>
    <row r="91" ht="42" customHeight="1">
      <c r="A91" s="16" t="inlineStr">
        <is>
          <t>CT07</t>
        </is>
      </c>
      <c r="B91" s="16" t="inlineStr">
        <is>
          <t>H_principal_cents</t>
        </is>
      </c>
      <c r="C91" s="16" t="inlineStr">
        <is>
          <t>§5, §8.3, §12.3, I02, I03, I10</t>
        </is>
      </c>
      <c r="D91" s="16" t="inlineStr">
        <is>
          <t>centavos BRL</t>
        </is>
      </c>
      <c r="E91" s="16" t="inlineStr">
        <is>
          <t>=</t>
        </is>
      </c>
      <c r="F91" s="32" t="n">
        <v>9500000</v>
      </c>
      <c r="G91" s="33" t="n"/>
      <c r="H91" s="32">
        <f>IF(AND(ISNUMBER(F91),ISNUMBER(G91)),G91-F91,"")</f>
        <v/>
      </c>
      <c r="I91" s="16">
        <f>IF(COUNTBLANK(G91)=1,"Não executado",IF(ISNUMBER(F91)&lt;&gt;ISNUMBER(G91),"Tipo incompatível",IF(IF(E91="&lt;&gt;",G91&lt;&gt;F91,G91=F91),IF(OR(J91="",K91="",NOT(ISNUMBER(L91)),L91&lt;=0),"Evidência pendente","Compatível"),"Divergente")))</f>
        <v/>
      </c>
      <c r="J91" s="12" t="str"/>
      <c r="K91" s="12" t="str"/>
      <c r="L91" s="28" t="n"/>
      <c r="M91" s="16" t="str"/>
      <c r="N91" s="16" t="str"/>
      <c r="O91" s="16" t="str"/>
      <c r="P91" s="16" t="str"/>
      <c r="Q91" s="16" t="str"/>
    </row>
    <row r="92" ht="42" customHeight="1">
      <c r="A92" s="16" t="inlineStr">
        <is>
          <t>CT07</t>
        </is>
      </c>
      <c r="B92" s="16" t="inlineStr">
        <is>
          <t>N_discount_cents</t>
        </is>
      </c>
      <c r="C92" s="16" t="inlineStr">
        <is>
          <t>§5, §8.3, §12.3, I02, I03, I10</t>
        </is>
      </c>
      <c r="D92" s="16" t="inlineStr">
        <is>
          <t>centavos BRL</t>
        </is>
      </c>
      <c r="E92" s="16" t="inlineStr">
        <is>
          <t>=</t>
        </is>
      </c>
      <c r="F92" s="32" t="n">
        <v>500000</v>
      </c>
      <c r="G92" s="33" t="n"/>
      <c r="H92" s="32">
        <f>IF(AND(ISNUMBER(F92),ISNUMBER(G92)),G92-F92,"")</f>
        <v/>
      </c>
      <c r="I92" s="16">
        <f>IF(COUNTBLANK(G92)=1,"Não executado",IF(ISNUMBER(F92)&lt;&gt;ISNUMBER(G92),"Tipo incompatível",IF(IF(E92="&lt;&gt;",G92&lt;&gt;F92,G92=F92),IF(OR(J92="",K92="",NOT(ISNUMBER(L92)),L92&lt;=0),"Evidência pendente","Compatível"),"Divergente")))</f>
        <v/>
      </c>
      <c r="J92" s="12" t="str"/>
      <c r="K92" s="12" t="str"/>
      <c r="L92" s="28" t="n"/>
      <c r="M92" s="16" t="str"/>
      <c r="N92" s="16" t="str"/>
      <c r="O92" s="16" t="str"/>
      <c r="P92" s="16" t="str"/>
      <c r="Q92" s="16" t="str"/>
    </row>
    <row r="93" ht="42" customHeight="1">
      <c r="A93" s="16" t="inlineStr">
        <is>
          <t>CT07</t>
        </is>
      </c>
      <c r="B93" s="16" t="inlineStr">
        <is>
          <t>interest_paid_cents</t>
        </is>
      </c>
      <c r="C93" s="16" t="inlineStr">
        <is>
          <t>§5, §8.3, §12.3, I02, I03, I10</t>
        </is>
      </c>
      <c r="D93" s="16" t="inlineStr">
        <is>
          <t>centavos BRL</t>
        </is>
      </c>
      <c r="E93" s="16" t="inlineStr">
        <is>
          <t>=</t>
        </is>
      </c>
      <c r="F93" s="32" t="n">
        <v>200000</v>
      </c>
      <c r="G93" s="33" t="n"/>
      <c r="H93" s="32">
        <f>IF(AND(ISNUMBER(F93),ISNUMBER(G93)),G93-F93,"")</f>
        <v/>
      </c>
      <c r="I93" s="16">
        <f>IF(COUNTBLANK(G93)=1,"Não executado",IF(ISNUMBER(F93)&lt;&gt;ISNUMBER(G93),"Tipo incompatível",IF(IF(E93="&lt;&gt;",G93&lt;&gt;F93,G93=F93),IF(OR(J93="",K93="",NOT(ISNUMBER(L93)),L93&lt;=0),"Evidência pendente","Compatível"),"Divergente")))</f>
        <v/>
      </c>
      <c r="J93" s="12" t="str"/>
      <c r="K93" s="12" t="str"/>
      <c r="L93" s="28" t="n"/>
      <c r="M93" s="16" t="str"/>
      <c r="N93" s="16" t="str"/>
      <c r="O93" s="16" t="str"/>
      <c r="P93" s="16" t="str"/>
      <c r="Q93" s="16" t="str"/>
    </row>
    <row r="94" ht="42" customHeight="1">
      <c r="A94" s="16" t="inlineStr">
        <is>
          <t>CT07</t>
        </is>
      </c>
      <c r="B94" s="16" t="inlineStr">
        <is>
          <t>I02_cash_cents</t>
        </is>
      </c>
      <c r="C94" s="16" t="inlineStr">
        <is>
          <t>§5, §8.3, §12.3, I02, I03, I10</t>
        </is>
      </c>
      <c r="D94" s="16" t="inlineStr">
        <is>
          <t>centavos BRL</t>
        </is>
      </c>
      <c r="E94" s="16" t="inlineStr">
        <is>
          <t>=</t>
        </is>
      </c>
      <c r="F94" s="32" t="n">
        <v>9700000</v>
      </c>
      <c r="G94" s="33" t="n"/>
      <c r="H94" s="32">
        <f>IF(AND(ISNUMBER(F94),ISNUMBER(G94)),G94-F94,"")</f>
        <v/>
      </c>
      <c r="I94" s="16">
        <f>IF(COUNTBLANK(G94)=1,"Não executado",IF(ISNUMBER(F94)&lt;&gt;ISNUMBER(G94),"Tipo incompatível",IF(IF(E94="&lt;&gt;",G94&lt;&gt;F94,G94=F94),IF(OR(J94="",K94="",NOT(ISNUMBER(L94)),L94&lt;=0),"Evidência pendente","Compatível"),"Divergente")))</f>
        <v/>
      </c>
      <c r="J94" s="12" t="str"/>
      <c r="K94" s="12" t="str"/>
      <c r="L94" s="28" t="n"/>
      <c r="M94" s="16" t="str"/>
      <c r="N94" s="16" t="str"/>
      <c r="O94" s="16" t="str"/>
      <c r="P94" s="16" t="str"/>
      <c r="Q94" s="16" t="str"/>
    </row>
    <row r="95" ht="42" customHeight="1">
      <c r="A95" s="16" t="inlineStr">
        <is>
          <t>CT07</t>
        </is>
      </c>
      <c r="B95" s="16" t="inlineStr">
        <is>
          <t>C_cents</t>
        </is>
      </c>
      <c r="C95" s="16" t="inlineStr">
        <is>
          <t>§5, §8.3, §12.3, I02, I03, I10</t>
        </is>
      </c>
      <c r="D95" s="16" t="inlineStr">
        <is>
          <t>centavos BRL</t>
        </is>
      </c>
      <c r="E95" s="16" t="inlineStr">
        <is>
          <t>=</t>
        </is>
      </c>
      <c r="F95" s="32" t="n">
        <v>0</v>
      </c>
      <c r="G95" s="33" t="n"/>
      <c r="H95" s="32">
        <f>IF(AND(ISNUMBER(F95),ISNUMBER(G95)),G95-F95,"")</f>
        <v/>
      </c>
      <c r="I95" s="16">
        <f>IF(COUNTBLANK(G95)=1,"Não executado",IF(ISNUMBER(F95)&lt;&gt;ISNUMBER(G95),"Tipo incompatível",IF(IF(E95="&lt;&gt;",G95&lt;&gt;F95,G95=F95),IF(OR(J95="",K95="",NOT(ISNUMBER(L95)),L95&lt;=0),"Evidência pendente","Compatível"),"Divergente")))</f>
        <v/>
      </c>
      <c r="J95" s="12" t="str"/>
      <c r="K95" s="12" t="str"/>
      <c r="L95" s="28" t="n"/>
      <c r="M95" s="16" t="str"/>
      <c r="N95" s="16" t="str"/>
      <c r="O95" s="16" t="str"/>
      <c r="P95" s="16" t="str"/>
      <c r="Q95" s="16" t="str"/>
    </row>
    <row r="96" ht="112" customHeight="1">
      <c r="A96" s="20" t="inlineStr">
        <is>
          <t>CT08</t>
        </is>
      </c>
      <c r="B96" s="20" t="inlineStr">
        <is>
          <t>A.open_principal_cents</t>
        </is>
      </c>
      <c r="C96" s="20" t="inlineStr">
        <is>
          <t>§8.3, §12.3, I02, I03</t>
        </is>
      </c>
      <c r="D96" s="20" t="inlineStr">
        <is>
          <t>centavos BRL</t>
        </is>
      </c>
      <c r="E96" s="20" t="inlineStr">
        <is>
          <t>=</t>
        </is>
      </c>
      <c r="F96" s="29" t="n">
        <v>5500000</v>
      </c>
      <c r="G96" s="30" t="n"/>
      <c r="H96" s="29">
        <f>IF(AND(ISNUMBER(F96),ISNUMBER(G96)),G96-F96,"")</f>
        <v/>
      </c>
      <c r="I96" s="20">
        <f>IF(COUNTBLANK(G96)=1,"Não executado",IF(ISNUMBER(F96)&lt;&gt;ISNUMBER(G96),"Tipo incompatível",IF(IF(E96="&lt;&gt;",G96&lt;&gt;F96,G96=F96),IF(OR(J96="",K96="",NOT(ISNUMBER(L96)),L96&lt;=0),"Evidência pendente","Compatível"),"Divergente")))</f>
        <v/>
      </c>
      <c r="J96" s="23" t="str"/>
      <c r="K96" s="23" t="str"/>
      <c r="L96" s="31" t="n"/>
      <c r="M96" s="20" t="inlineStr">
        <is>
          <t>Estorno de liquidação e devolução bancária são eventos distintos</t>
        </is>
      </c>
      <c r="N96" s="20" t="inlineStr">
        <is>
          <t>{"previous_total_cash_cents": 9700000, "reversed_payment_cents": 5700000, "reversed_principal_cents": 5500000, "interest_still_due_cents": 200000, "discount_cents": 500000}</t>
        </is>
      </c>
      <c r="O96" s="20" t="inlineStr">
        <is>
          <t>A: reverter a baixa e confirmar devolução bancária de 57.000,00, mantendo desconto válido.
B: repetir em cópia limpa, revogando o desconto porque a condição foi perdida.
C: em outra cópia, reverter apenas a associação da baixa, sem extrato de devolução.</t>
        </is>
      </c>
      <c r="P96" s="20" t="inlineStr">
        <is>
          <t>A: 55.000,00 + 2.000,00 = 57.000,00 reabertos. B: 60.000,00 + 2.000,00 = 62.000,00.
A e B: desembolso líquido = 97.000,00 − 57.000,00 = 40.000,00. C: sem devolução, o caixa histórico continua 97.000,00.</t>
        </is>
      </c>
      <c r="Q96" s="20" t="inlineStr">
        <is>
          <t>Estado inicial é o fim de CT07. D07 define documentalmente se o desconto permanece após a devolução. As variantes são execuções independentes.
Preservar pagamento original, estorno, condição de desconto e movimento de restituição separados.
Na variante C, não certificar Q enquanto o destino dos 57.000,00 efetivamente desembolsados estiver em apuração.</t>
        </is>
      </c>
    </row>
    <row r="97" ht="42" customHeight="1">
      <c r="A97" s="16" t="inlineStr">
        <is>
          <t>CT08</t>
        </is>
      </c>
      <c r="B97" s="16" t="inlineStr">
        <is>
          <t>A.open_interest_cents</t>
        </is>
      </c>
      <c r="C97" s="16" t="inlineStr">
        <is>
          <t>§8.3, §12.3, I02, I03</t>
        </is>
      </c>
      <c r="D97" s="16" t="inlineStr">
        <is>
          <t>centavos BRL</t>
        </is>
      </c>
      <c r="E97" s="16" t="inlineStr">
        <is>
          <t>=</t>
        </is>
      </c>
      <c r="F97" s="32" t="n">
        <v>200000</v>
      </c>
      <c r="G97" s="33" t="n"/>
      <c r="H97" s="32">
        <f>IF(AND(ISNUMBER(F97),ISNUMBER(G97)),G97-F97,"")</f>
        <v/>
      </c>
      <c r="I97" s="16">
        <f>IF(COUNTBLANK(G97)=1,"Não executado",IF(ISNUMBER(F97)&lt;&gt;ISNUMBER(G97),"Tipo incompatível",IF(IF(E97="&lt;&gt;",G97&lt;&gt;F97,G97=F97),IF(OR(J97="",K97="",NOT(ISNUMBER(L97)),L97&lt;=0),"Evidência pendente","Compatível"),"Divergente")))</f>
        <v/>
      </c>
      <c r="J97" s="12" t="str"/>
      <c r="K97" s="12" t="str"/>
      <c r="L97" s="28" t="n"/>
      <c r="M97" s="16" t="str"/>
      <c r="N97" s="16" t="str"/>
      <c r="O97" s="16" t="str"/>
      <c r="P97" s="16" t="str"/>
      <c r="Q97" s="16" t="str"/>
    </row>
    <row r="98" ht="42" customHeight="1">
      <c r="A98" s="16" t="inlineStr">
        <is>
          <t>CT08</t>
        </is>
      </c>
      <c r="B98" s="16" t="inlineStr">
        <is>
          <t>A.R_cents</t>
        </is>
      </c>
      <c r="C98" s="16" t="inlineStr">
        <is>
          <t>§8.3, §12.3, I02, I03</t>
        </is>
      </c>
      <c r="D98" s="16" t="inlineStr">
        <is>
          <t>centavos BRL</t>
        </is>
      </c>
      <c r="E98" s="16" t="inlineStr">
        <is>
          <t>=</t>
        </is>
      </c>
      <c r="F98" s="32" t="n">
        <v>5700000</v>
      </c>
      <c r="G98" s="33" t="n"/>
      <c r="H98" s="32">
        <f>IF(AND(ISNUMBER(F98),ISNUMBER(G98)),G98-F98,"")</f>
        <v/>
      </c>
      <c r="I98" s="16">
        <f>IF(COUNTBLANK(G98)=1,"Não executado",IF(ISNUMBER(F98)&lt;&gt;ISNUMBER(G98),"Tipo incompatível",IF(IF(E98="&lt;&gt;",G98&lt;&gt;F98,G98=F98),IF(OR(J98="",K98="",NOT(ISNUMBER(L98)),L98&lt;=0),"Evidência pendente","Compatível"),"Divergente")))</f>
        <v/>
      </c>
      <c r="J98" s="12" t="str"/>
      <c r="K98" s="12" t="str"/>
      <c r="L98" s="28" t="n"/>
      <c r="M98" s="16" t="str"/>
      <c r="N98" s="16" t="str"/>
      <c r="O98" s="16" t="str"/>
      <c r="P98" s="16" t="str"/>
      <c r="Q98" s="16" t="str"/>
    </row>
    <row r="99" ht="42" customHeight="1">
      <c r="A99" s="16" t="inlineStr">
        <is>
          <t>CT08</t>
        </is>
      </c>
      <c r="B99" s="16" t="inlineStr">
        <is>
          <t>A.gross_historical_outflow_cents</t>
        </is>
      </c>
      <c r="C99" s="16" t="inlineStr">
        <is>
          <t>§8.3, §12.3, I02, I03</t>
        </is>
      </c>
      <c r="D99" s="16" t="inlineStr">
        <is>
          <t>centavos BRL</t>
        </is>
      </c>
      <c r="E99" s="16" t="inlineStr">
        <is>
          <t>=</t>
        </is>
      </c>
      <c r="F99" s="32" t="n">
        <v>9700000</v>
      </c>
      <c r="G99" s="33" t="n"/>
      <c r="H99" s="32">
        <f>IF(AND(ISNUMBER(F99),ISNUMBER(G99)),G99-F99,"")</f>
        <v/>
      </c>
      <c r="I99" s="16">
        <f>IF(COUNTBLANK(G99)=1,"Não executado",IF(ISNUMBER(F99)&lt;&gt;ISNUMBER(G99),"Tipo incompatível",IF(IF(E99="&lt;&gt;",G99&lt;&gt;F99,G99=F99),IF(OR(J99="",K99="",NOT(ISNUMBER(L99)),L99&lt;=0),"Evidência pendente","Compatível"),"Divergente")))</f>
        <v/>
      </c>
      <c r="J99" s="12" t="str"/>
      <c r="K99" s="12" t="str"/>
      <c r="L99" s="28" t="n"/>
      <c r="M99" s="16" t="str"/>
      <c r="N99" s="16" t="str"/>
      <c r="O99" s="16" t="str"/>
      <c r="P99" s="16" t="str"/>
      <c r="Q99" s="16" t="str"/>
    </row>
    <row r="100" ht="42" customHeight="1">
      <c r="A100" s="16" t="inlineStr">
        <is>
          <t>CT08</t>
        </is>
      </c>
      <c r="B100" s="16" t="inlineStr">
        <is>
          <t>A.confirmed_refund_cents</t>
        </is>
      </c>
      <c r="C100" s="16" t="inlineStr">
        <is>
          <t>§8.3, §12.3, I02, I03</t>
        </is>
      </c>
      <c r="D100" s="16" t="inlineStr">
        <is>
          <t>centavos BRL</t>
        </is>
      </c>
      <c r="E100" s="16" t="inlineStr">
        <is>
          <t>=</t>
        </is>
      </c>
      <c r="F100" s="32" t="n">
        <v>5700000</v>
      </c>
      <c r="G100" s="33" t="n"/>
      <c r="H100" s="32">
        <f>IF(AND(ISNUMBER(F100),ISNUMBER(G100)),G100-F100,"")</f>
        <v/>
      </c>
      <c r="I100" s="16">
        <f>IF(COUNTBLANK(G100)=1,"Não executado",IF(ISNUMBER(F100)&lt;&gt;ISNUMBER(G100),"Tipo incompatível",IF(IF(E100="&lt;&gt;",G100&lt;&gt;F100,G100=F100),IF(OR(J100="",K100="",NOT(ISNUMBER(L100)),L100&lt;=0),"Evidência pendente","Compatível"),"Divergente")))</f>
        <v/>
      </c>
      <c r="J100" s="12" t="str"/>
      <c r="K100" s="12" t="str"/>
      <c r="L100" s="28" t="n"/>
      <c r="M100" s="16" t="str"/>
      <c r="N100" s="16" t="str"/>
      <c r="O100" s="16" t="str"/>
      <c r="P100" s="16" t="str"/>
      <c r="Q100" s="16" t="str"/>
    </row>
    <row r="101" ht="42" customHeight="1">
      <c r="A101" s="16" t="inlineStr">
        <is>
          <t>CT08</t>
        </is>
      </c>
      <c r="B101" s="16" t="inlineStr">
        <is>
          <t>A.net_outflow_cents</t>
        </is>
      </c>
      <c r="C101" s="16" t="inlineStr">
        <is>
          <t>§8.3, §12.3, I02, I03</t>
        </is>
      </c>
      <c r="D101" s="16" t="inlineStr">
        <is>
          <t>centavos BRL</t>
        </is>
      </c>
      <c r="E101" s="16" t="inlineStr">
        <is>
          <t>=</t>
        </is>
      </c>
      <c r="F101" s="32" t="n">
        <v>4000000</v>
      </c>
      <c r="G101" s="33" t="n"/>
      <c r="H101" s="32">
        <f>IF(AND(ISNUMBER(F101),ISNUMBER(G101)),G101-F101,"")</f>
        <v/>
      </c>
      <c r="I101" s="16">
        <f>IF(COUNTBLANK(G101)=1,"Não executado",IF(ISNUMBER(F101)&lt;&gt;ISNUMBER(G101),"Tipo incompatível",IF(IF(E101="&lt;&gt;",G101&lt;&gt;F101,G101=F101),IF(OR(J101="",K101="",NOT(ISNUMBER(L101)),L101&lt;=0),"Evidência pendente","Compatível"),"Divergente")))</f>
        <v/>
      </c>
      <c r="J101" s="12" t="str"/>
      <c r="K101" s="12" t="str"/>
      <c r="L101" s="28" t="n"/>
      <c r="M101" s="16" t="str"/>
      <c r="N101" s="16" t="str"/>
      <c r="O101" s="16" t="str"/>
      <c r="P101" s="16" t="str"/>
      <c r="Q101" s="16" t="str"/>
    </row>
    <row r="102" ht="42" customHeight="1">
      <c r="A102" s="16" t="inlineStr">
        <is>
          <t>CT08</t>
        </is>
      </c>
      <c r="B102" s="16" t="inlineStr">
        <is>
          <t>B.open_principal_cents</t>
        </is>
      </c>
      <c r="C102" s="16" t="inlineStr">
        <is>
          <t>§8.3, §12.3, I02, I03</t>
        </is>
      </c>
      <c r="D102" s="16" t="inlineStr">
        <is>
          <t>centavos BRL</t>
        </is>
      </c>
      <c r="E102" s="16" t="inlineStr">
        <is>
          <t>=</t>
        </is>
      </c>
      <c r="F102" s="32" t="n">
        <v>6000000</v>
      </c>
      <c r="G102" s="33" t="n"/>
      <c r="H102" s="32">
        <f>IF(AND(ISNUMBER(F102),ISNUMBER(G102)),G102-F102,"")</f>
        <v/>
      </c>
      <c r="I102" s="16">
        <f>IF(COUNTBLANK(G102)=1,"Não executado",IF(ISNUMBER(F102)&lt;&gt;ISNUMBER(G102),"Tipo incompatível",IF(IF(E102="&lt;&gt;",G102&lt;&gt;F102,G102=F102),IF(OR(J102="",K102="",NOT(ISNUMBER(L102)),L102&lt;=0),"Evidência pendente","Compatível"),"Divergente")))</f>
        <v/>
      </c>
      <c r="J102" s="12" t="str"/>
      <c r="K102" s="12" t="str"/>
      <c r="L102" s="28" t="n"/>
      <c r="M102" s="16" t="str"/>
      <c r="N102" s="16" t="str"/>
      <c r="O102" s="16" t="str"/>
      <c r="P102" s="16" t="str"/>
      <c r="Q102" s="16" t="str"/>
    </row>
    <row r="103" ht="42" customHeight="1">
      <c r="A103" s="16" t="inlineStr">
        <is>
          <t>CT08</t>
        </is>
      </c>
      <c r="B103" s="16" t="inlineStr">
        <is>
          <t>B.open_interest_cents</t>
        </is>
      </c>
      <c r="C103" s="16" t="inlineStr">
        <is>
          <t>§8.3, §12.3, I02, I03</t>
        </is>
      </c>
      <c r="D103" s="16" t="inlineStr">
        <is>
          <t>centavos BRL</t>
        </is>
      </c>
      <c r="E103" s="16" t="inlineStr">
        <is>
          <t>=</t>
        </is>
      </c>
      <c r="F103" s="32" t="n">
        <v>200000</v>
      </c>
      <c r="G103" s="33" t="n"/>
      <c r="H103" s="32">
        <f>IF(AND(ISNUMBER(F103),ISNUMBER(G103)),G103-F103,"")</f>
        <v/>
      </c>
      <c r="I103" s="16">
        <f>IF(COUNTBLANK(G103)=1,"Não executado",IF(ISNUMBER(F103)&lt;&gt;ISNUMBER(G103),"Tipo incompatível",IF(IF(E103="&lt;&gt;",G103&lt;&gt;F103,G103=F103),IF(OR(J103="",K103="",NOT(ISNUMBER(L103)),L103&lt;=0),"Evidência pendente","Compatível"),"Divergente")))</f>
        <v/>
      </c>
      <c r="J103" s="12" t="str"/>
      <c r="K103" s="12" t="str"/>
      <c r="L103" s="28" t="n"/>
      <c r="M103" s="16" t="str"/>
      <c r="N103" s="16" t="str"/>
      <c r="O103" s="16" t="str"/>
      <c r="P103" s="16" t="str"/>
      <c r="Q103" s="16" t="str"/>
    </row>
    <row r="104" ht="42" customHeight="1">
      <c r="A104" s="16" t="inlineStr">
        <is>
          <t>CT08</t>
        </is>
      </c>
      <c r="B104" s="16" t="inlineStr">
        <is>
          <t>B.R_cents</t>
        </is>
      </c>
      <c r="C104" s="16" t="inlineStr">
        <is>
          <t>§8.3, §12.3, I02, I03</t>
        </is>
      </c>
      <c r="D104" s="16" t="inlineStr">
        <is>
          <t>centavos BRL</t>
        </is>
      </c>
      <c r="E104" s="16" t="inlineStr">
        <is>
          <t>=</t>
        </is>
      </c>
      <c r="F104" s="32" t="n">
        <v>6200000</v>
      </c>
      <c r="G104" s="33" t="n"/>
      <c r="H104" s="32">
        <f>IF(AND(ISNUMBER(F104),ISNUMBER(G104)),G104-F104,"")</f>
        <v/>
      </c>
      <c r="I104" s="16">
        <f>IF(COUNTBLANK(G104)=1,"Não executado",IF(ISNUMBER(F104)&lt;&gt;ISNUMBER(G104),"Tipo incompatível",IF(IF(E104="&lt;&gt;",G104&lt;&gt;F104,G104=F104),IF(OR(J104="",K104="",NOT(ISNUMBER(L104)),L104&lt;=0),"Evidência pendente","Compatível"),"Divergente")))</f>
        <v/>
      </c>
      <c r="J104" s="12" t="str"/>
      <c r="K104" s="12" t="str"/>
      <c r="L104" s="28" t="n"/>
      <c r="M104" s="16" t="str"/>
      <c r="N104" s="16" t="str"/>
      <c r="O104" s="16" t="str"/>
      <c r="P104" s="16" t="str"/>
      <c r="Q104" s="16" t="str"/>
    </row>
    <row r="105" ht="42" customHeight="1">
      <c r="A105" s="16" t="inlineStr">
        <is>
          <t>CT08</t>
        </is>
      </c>
      <c r="B105" s="16" t="inlineStr">
        <is>
          <t>B.net_outflow_cents</t>
        </is>
      </c>
      <c r="C105" s="16" t="inlineStr">
        <is>
          <t>§8.3, §12.3, I02, I03</t>
        </is>
      </c>
      <c r="D105" s="16" t="inlineStr">
        <is>
          <t>centavos BRL</t>
        </is>
      </c>
      <c r="E105" s="16" t="inlineStr">
        <is>
          <t>=</t>
        </is>
      </c>
      <c r="F105" s="32" t="n">
        <v>4000000</v>
      </c>
      <c r="G105" s="33" t="n"/>
      <c r="H105" s="32">
        <f>IF(AND(ISNUMBER(F105),ISNUMBER(G105)),G105-F105,"")</f>
        <v/>
      </c>
      <c r="I105" s="16">
        <f>IF(COUNTBLANK(G105)=1,"Não executado",IF(ISNUMBER(F105)&lt;&gt;ISNUMBER(G105),"Tipo incompatível",IF(IF(E105="&lt;&gt;",G105&lt;&gt;F105,G105=F105),IF(OR(J105="",K105="",NOT(ISNUMBER(L105)),L105&lt;=0),"Evidência pendente","Compatível"),"Divergente")))</f>
        <v/>
      </c>
      <c r="J105" s="12" t="str"/>
      <c r="K105" s="12" t="str"/>
      <c r="L105" s="28" t="n"/>
      <c r="M105" s="16" t="str"/>
      <c r="N105" s="16" t="str"/>
      <c r="O105" s="16" t="str"/>
      <c r="P105" s="16" t="str"/>
      <c r="Q105" s="16" t="str"/>
    </row>
    <row r="106" ht="42" customHeight="1">
      <c r="A106" s="16" t="inlineStr">
        <is>
          <t>CT08</t>
        </is>
      </c>
      <c r="B106" s="16" t="inlineStr">
        <is>
          <t>C.confirmed_refund_cents</t>
        </is>
      </c>
      <c r="C106" s="16" t="inlineStr">
        <is>
          <t>§8.3, §12.3, I02, I03</t>
        </is>
      </c>
      <c r="D106" s="16" t="inlineStr">
        <is>
          <t>centavos BRL</t>
        </is>
      </c>
      <c r="E106" s="16" t="inlineStr">
        <is>
          <t>=</t>
        </is>
      </c>
      <c r="F106" s="32" t="n">
        <v>0</v>
      </c>
      <c r="G106" s="33" t="n"/>
      <c r="H106" s="32">
        <f>IF(AND(ISNUMBER(F106),ISNUMBER(G106)),G106-F106,"")</f>
        <v/>
      </c>
      <c r="I106" s="16">
        <f>IF(COUNTBLANK(G106)=1,"Não executado",IF(ISNUMBER(F106)&lt;&gt;ISNUMBER(G106),"Tipo incompatível",IF(IF(E106="&lt;&gt;",G106&lt;&gt;F106,G106=F106),IF(OR(J106="",K106="",NOT(ISNUMBER(L106)),L106&lt;=0),"Evidência pendente","Compatível"),"Divergente")))</f>
        <v/>
      </c>
      <c r="J106" s="12" t="str"/>
      <c r="K106" s="12" t="str"/>
      <c r="L106" s="28" t="n"/>
      <c r="M106" s="16" t="str"/>
      <c r="N106" s="16" t="str"/>
      <c r="O106" s="16" t="str"/>
      <c r="P106" s="16" t="str"/>
      <c r="Q106" s="16" t="str"/>
    </row>
    <row r="107" ht="42" customHeight="1">
      <c r="A107" s="16" t="inlineStr">
        <is>
          <t>CT08</t>
        </is>
      </c>
      <c r="B107" s="16" t="inlineStr">
        <is>
          <t>C.gross_historical_outflow_cents</t>
        </is>
      </c>
      <c r="C107" s="16" t="inlineStr">
        <is>
          <t>§8.3, §12.3, I02, I03</t>
        </is>
      </c>
      <c r="D107" s="16" t="inlineStr">
        <is>
          <t>centavos BRL</t>
        </is>
      </c>
      <c r="E107" s="16" t="inlineStr">
        <is>
          <t>=</t>
        </is>
      </c>
      <c r="F107" s="32" t="n">
        <v>9700000</v>
      </c>
      <c r="G107" s="33" t="n"/>
      <c r="H107" s="32">
        <f>IF(AND(ISNUMBER(F107),ISNUMBER(G107)),G107-F107,"")</f>
        <v/>
      </c>
      <c r="I107" s="16">
        <f>IF(COUNTBLANK(G107)=1,"Não executado",IF(ISNUMBER(F107)&lt;&gt;ISNUMBER(G107),"Tipo incompatível",IF(IF(E107="&lt;&gt;",G107&lt;&gt;F107,G107=F107),IF(OR(J107="",K107="",NOT(ISNUMBER(L107)),L107&lt;=0),"Evidência pendente","Compatível"),"Divergente")))</f>
        <v/>
      </c>
      <c r="J107" s="12" t="str"/>
      <c r="K107" s="12" t="str"/>
      <c r="L107" s="28" t="n"/>
      <c r="M107" s="16" t="str"/>
      <c r="N107" s="16" t="str"/>
      <c r="O107" s="16" t="str"/>
      <c r="P107" s="16" t="str"/>
      <c r="Q107" s="16" t="str"/>
    </row>
    <row r="108" ht="42" customHeight="1">
      <c r="A108" s="16" t="inlineStr">
        <is>
          <t>CT08</t>
        </is>
      </c>
      <c r="B108" s="16" t="inlineStr">
        <is>
          <t>C.cash_awaiting_reallocation_cents</t>
        </is>
      </c>
      <c r="C108" s="16" t="inlineStr">
        <is>
          <t>§8.3, §12.3, I02, I03</t>
        </is>
      </c>
      <c r="D108" s="16" t="inlineStr">
        <is>
          <t>centavos BRL</t>
        </is>
      </c>
      <c r="E108" s="16" t="inlineStr">
        <is>
          <t>=</t>
        </is>
      </c>
      <c r="F108" s="32" t="n">
        <v>5700000</v>
      </c>
      <c r="G108" s="33" t="n"/>
      <c r="H108" s="32">
        <f>IF(AND(ISNUMBER(F108),ISNUMBER(G108)),G108-F108,"")</f>
        <v/>
      </c>
      <c r="I108" s="16">
        <f>IF(COUNTBLANK(G108)=1,"Não executado",IF(ISNUMBER(F108)&lt;&gt;ISNUMBER(G108),"Tipo incompatível",IF(IF(E108="&lt;&gt;",G108&lt;&gt;F108,G108=F108),IF(OR(J108="",K108="",NOT(ISNUMBER(L108)),L108&lt;=0),"Evidência pendente","Compatível"),"Divergente")))</f>
        <v/>
      </c>
      <c r="J108" s="12" t="str"/>
      <c r="K108" s="12" t="str"/>
      <c r="L108" s="28" t="n"/>
      <c r="M108" s="16" t="str"/>
      <c r="N108" s="16" t="str"/>
      <c r="O108" s="16" t="str"/>
      <c r="P108" s="16" t="str"/>
      <c r="Q108" s="16" t="str"/>
    </row>
    <row r="109" ht="42" customHeight="1">
      <c r="A109" s="16" t="inlineStr">
        <is>
          <t>CT08</t>
        </is>
      </c>
      <c r="B109" s="16" t="inlineStr">
        <is>
          <t>C.Q_complete</t>
        </is>
      </c>
      <c r="C109" s="16" t="inlineStr">
        <is>
          <t>§8.3, §12.3, I02, I03</t>
        </is>
      </c>
      <c r="D109" s="16" t="inlineStr">
        <is>
          <t>booleano</t>
        </is>
      </c>
      <c r="E109" s="16" t="inlineStr">
        <is>
          <t>=</t>
        </is>
      </c>
      <c r="F109" s="32" t="b">
        <v>0</v>
      </c>
      <c r="G109" s="33" t="n"/>
      <c r="H109" s="32">
        <f>IF(AND(ISNUMBER(F109),ISNUMBER(G109)),G109-F109,"")</f>
        <v/>
      </c>
      <c r="I109" s="16">
        <f>IF(COUNTBLANK(G109)=1,"Não executado",IF(ISNUMBER(F109)&lt;&gt;ISNUMBER(G109),"Tipo incompatível",IF(IF(E109="&lt;&gt;",G109&lt;&gt;F109,G109=F109),IF(OR(J109="",K109="",NOT(ISNUMBER(L109)),L109&lt;=0),"Evidência pendente","Compatível"),"Divergente")))</f>
        <v/>
      </c>
      <c r="J109" s="12" t="str"/>
      <c r="K109" s="12" t="str"/>
      <c r="L109" s="28" t="n"/>
      <c r="M109" s="16" t="str"/>
      <c r="N109" s="16" t="str"/>
      <c r="O109" s="16" t="str"/>
      <c r="P109" s="16" t="str"/>
      <c r="Q109" s="16" t="str"/>
    </row>
    <row r="110" ht="112" customHeight="1">
      <c r="A110" s="20" t="inlineStr">
        <is>
          <t>CT09</t>
        </is>
      </c>
      <c r="B110" s="20" t="inlineStr">
        <is>
          <t>before_invoice_I03_cents</t>
        </is>
      </c>
      <c r="C110" s="20" t="inlineStr">
        <is>
          <t>§7.2, §8.3, I01, I03, I04, I05</t>
        </is>
      </c>
      <c r="D110" s="20" t="inlineStr">
        <is>
          <t>centavos BRL</t>
        </is>
      </c>
      <c r="E110" s="20" t="inlineStr">
        <is>
          <t>=</t>
        </is>
      </c>
      <c r="F110" s="29" t="n">
        <v>0</v>
      </c>
      <c r="G110" s="30" t="n"/>
      <c r="H110" s="29">
        <f>IF(AND(ISNUMBER(F110),ISNUMBER(G110)),G110-F110,"")</f>
        <v/>
      </c>
      <c r="I110" s="20">
        <f>IF(COUNTBLANK(G110)=1,"Não executado",IF(ISNUMBER(F110)&lt;&gt;ISNUMBER(G110),"Tipo incompatível",IF(IF(E110="&lt;&gt;",G110&lt;&gt;F110,G110=F110),IF(OR(J110="",K110="",NOT(ISNUMBER(L110)),L110&lt;=0),"Evidência pendente","Compatível"),"Divergente")))</f>
        <v/>
      </c>
      <c r="J110" s="23" t="str"/>
      <c r="K110" s="23" t="str"/>
      <c r="L110" s="31" t="n"/>
      <c r="M110" s="20" t="inlineStr">
        <is>
          <t>Cancelamento documental e substituição de medição por nota</t>
        </is>
      </c>
      <c r="N110" s="20" t="inlineStr">
        <is>
          <t>{"accepted_service_cents": 800000, "provisional_obligation_id": "MED-01", "first_invoice_id": "NF-01", "replacement_invoice_id": "NF-02", "all_represent_same_obligation": true}</t>
        </is>
      </c>
      <c r="O110" s="20" t="inlineStr">
        <is>
          <t>Reconhecer medição sem NF.
Receber NF-01 e substituir a representação provisória.
Cancelar NF-01 por erro documental e substituir por NF-02 com o mesmo escopo e valor.</t>
        </is>
      </c>
      <c r="P110" s="20" t="inlineStr">
        <is>
          <t>R antes = 0,00 + 8.000,00 = 8.000,00. R depois = 8.000,00 + 0,00 = 8.000,00. Custo continua 8.000,00.</t>
        </is>
      </c>
      <c r="Q110" s="20" t="inlineStr">
        <is>
          <t>Serviço aceito de 8.000,00 permanece devido. Cancelamento da nota é exclusivamente documental.
Nenhuma etapa apaga o fato econômico. Cancelados e substituídos continuam no histórico, sem compor novamente os saldos.</t>
        </is>
      </c>
    </row>
    <row r="111" ht="42" customHeight="1">
      <c r="A111" s="16" t="inlineStr">
        <is>
          <t>CT09</t>
        </is>
      </c>
      <c r="B111" s="16" t="inlineStr">
        <is>
          <t>before_invoice_I04_cents</t>
        </is>
      </c>
      <c r="C111" s="16" t="inlineStr">
        <is>
          <t>§7.2, §8.3, I01, I03, I04, I05</t>
        </is>
      </c>
      <c r="D111" s="16" t="inlineStr">
        <is>
          <t>centavos BRL</t>
        </is>
      </c>
      <c r="E111" s="16" t="inlineStr">
        <is>
          <t>=</t>
        </is>
      </c>
      <c r="F111" s="32" t="n">
        <v>800000</v>
      </c>
      <c r="G111" s="33" t="n"/>
      <c r="H111" s="32">
        <f>IF(AND(ISNUMBER(F111),ISNUMBER(G111)),G111-F111,"")</f>
        <v/>
      </c>
      <c r="I111" s="16">
        <f>IF(COUNTBLANK(G111)=1,"Não executado",IF(ISNUMBER(F111)&lt;&gt;ISNUMBER(G111),"Tipo incompatível",IF(IF(E111="&lt;&gt;",G111&lt;&gt;F111,G111=F111),IF(OR(J111="",K111="",NOT(ISNUMBER(L111)),L111&lt;=0),"Evidência pendente","Compatível"),"Divergente")))</f>
        <v/>
      </c>
      <c r="J111" s="12" t="str"/>
      <c r="K111" s="12" t="str"/>
      <c r="L111" s="28" t="n"/>
      <c r="M111" s="16" t="str"/>
      <c r="N111" s="16" t="str"/>
      <c r="O111" s="16" t="str"/>
      <c r="P111" s="16" t="str"/>
      <c r="Q111" s="16" t="str"/>
    </row>
    <row r="112" ht="42" customHeight="1">
      <c r="A112" s="16" t="inlineStr">
        <is>
          <t>CT09</t>
        </is>
      </c>
      <c r="B112" s="16" t="inlineStr">
        <is>
          <t>final_I03_cents</t>
        </is>
      </c>
      <c r="C112" s="16" t="inlineStr">
        <is>
          <t>§7.2, §8.3, I01, I03, I04, I05</t>
        </is>
      </c>
      <c r="D112" s="16" t="inlineStr">
        <is>
          <t>centavos BRL</t>
        </is>
      </c>
      <c r="E112" s="16" t="inlineStr">
        <is>
          <t>=</t>
        </is>
      </c>
      <c r="F112" s="32" t="n">
        <v>800000</v>
      </c>
      <c r="G112" s="33" t="n"/>
      <c r="H112" s="32">
        <f>IF(AND(ISNUMBER(F112),ISNUMBER(G112)),G112-F112,"")</f>
        <v/>
      </c>
      <c r="I112" s="16">
        <f>IF(COUNTBLANK(G112)=1,"Não executado",IF(ISNUMBER(F112)&lt;&gt;ISNUMBER(G112),"Tipo incompatível",IF(IF(E112="&lt;&gt;",G112&lt;&gt;F112,G112=F112),IF(OR(J112="",K112="",NOT(ISNUMBER(L112)),L112&lt;=0),"Evidência pendente","Compatível"),"Divergente")))</f>
        <v/>
      </c>
      <c r="J112" s="12" t="str"/>
      <c r="K112" s="12" t="str"/>
      <c r="L112" s="28" t="n"/>
      <c r="M112" s="16" t="str"/>
      <c r="N112" s="16" t="str"/>
      <c r="O112" s="16" t="str"/>
      <c r="P112" s="16" t="str"/>
      <c r="Q112" s="16" t="str"/>
    </row>
    <row r="113" ht="42" customHeight="1">
      <c r="A113" s="16" t="inlineStr">
        <is>
          <t>CT09</t>
        </is>
      </c>
      <c r="B113" s="16" t="inlineStr">
        <is>
          <t>final_I04_cents</t>
        </is>
      </c>
      <c r="C113" s="16" t="inlineStr">
        <is>
          <t>§7.2, §8.3, I01, I03, I04, I05</t>
        </is>
      </c>
      <c r="D113" s="16" t="inlineStr">
        <is>
          <t>centavos BRL</t>
        </is>
      </c>
      <c r="E113" s="16" t="inlineStr">
        <is>
          <t>=</t>
        </is>
      </c>
      <c r="F113" s="32" t="n">
        <v>0</v>
      </c>
      <c r="G113" s="33" t="n"/>
      <c r="H113" s="32">
        <f>IF(AND(ISNUMBER(F113),ISNUMBER(G113)),G113-F113,"")</f>
        <v/>
      </c>
      <c r="I113" s="16">
        <f>IF(COUNTBLANK(G113)=1,"Não executado",IF(ISNUMBER(F113)&lt;&gt;ISNUMBER(G113),"Tipo incompatível",IF(IF(E113="&lt;&gt;",G113&lt;&gt;F113,G113=F113),IF(OR(J113="",K113="",NOT(ISNUMBER(L113)),L113&lt;=0),"Evidência pendente","Compatível"),"Divergente")))</f>
        <v/>
      </c>
      <c r="J113" s="12" t="str"/>
      <c r="K113" s="12" t="str"/>
      <c r="L113" s="28" t="n"/>
      <c r="M113" s="16" t="str"/>
      <c r="N113" s="16" t="str"/>
      <c r="O113" s="16" t="str"/>
      <c r="P113" s="16" t="str"/>
      <c r="Q113" s="16" t="str"/>
    </row>
    <row r="114" ht="42" customHeight="1">
      <c r="A114" s="16" t="inlineStr">
        <is>
          <t>CT09</t>
        </is>
      </c>
      <c r="B114" s="16" t="inlineStr">
        <is>
          <t>final_R_cents</t>
        </is>
      </c>
      <c r="C114" s="16" t="inlineStr">
        <is>
          <t>§7.2, §8.3, I01, I03, I04, I05</t>
        </is>
      </c>
      <c r="D114" s="16" t="inlineStr">
        <is>
          <t>centavos BRL</t>
        </is>
      </c>
      <c r="E114" s="16" t="inlineStr">
        <is>
          <t>=</t>
        </is>
      </c>
      <c r="F114" s="32" t="n">
        <v>800000</v>
      </c>
      <c r="G114" s="33" t="n"/>
      <c r="H114" s="32">
        <f>IF(AND(ISNUMBER(F114),ISNUMBER(G114)),G114-F114,"")</f>
        <v/>
      </c>
      <c r="I114" s="16">
        <f>IF(COUNTBLANK(G114)=1,"Não executado",IF(ISNUMBER(F114)&lt;&gt;ISNUMBER(G114),"Tipo incompatível",IF(IF(E114="&lt;&gt;",G114&lt;&gt;F114,G114=F114),IF(OR(J114="",K114="",NOT(ISNUMBER(L114)),L114&lt;=0),"Evidência pendente","Compatível"),"Divergente")))</f>
        <v/>
      </c>
      <c r="J114" s="12" t="str"/>
      <c r="K114" s="12" t="str"/>
      <c r="L114" s="28" t="n"/>
      <c r="M114" s="16" t="str"/>
      <c r="N114" s="16" t="str"/>
      <c r="O114" s="16" t="str"/>
      <c r="P114" s="16" t="str"/>
      <c r="Q114" s="16" t="str"/>
    </row>
    <row r="115" ht="42" customHeight="1">
      <c r="A115" s="16" t="inlineStr">
        <is>
          <t>CT09</t>
        </is>
      </c>
      <c r="B115" s="16" t="inlineStr">
        <is>
          <t>cost_cents</t>
        </is>
      </c>
      <c r="C115" s="16" t="inlineStr">
        <is>
          <t>§7.2, §8.3, I01, I03, I04, I05</t>
        </is>
      </c>
      <c r="D115" s="16" t="inlineStr">
        <is>
          <t>centavos BRL</t>
        </is>
      </c>
      <c r="E115" s="16" t="inlineStr">
        <is>
          <t>=</t>
        </is>
      </c>
      <c r="F115" s="32" t="n">
        <v>800000</v>
      </c>
      <c r="G115" s="33" t="n"/>
      <c r="H115" s="32">
        <f>IF(AND(ISNUMBER(F115),ISNUMBER(G115)),G115-F115,"")</f>
        <v/>
      </c>
      <c r="I115" s="16">
        <f>IF(COUNTBLANK(G115)=1,"Não executado",IF(ISNUMBER(F115)&lt;&gt;ISNUMBER(G115),"Tipo incompatível",IF(IF(E115="&lt;&gt;",G115&lt;&gt;F115,G115=F115),IF(OR(J115="",K115="",NOT(ISNUMBER(L115)),L115&lt;=0),"Evidência pendente","Compatível"),"Divergente")))</f>
        <v/>
      </c>
      <c r="J115" s="12" t="str"/>
      <c r="K115" s="12" t="str"/>
      <c r="L115" s="28" t="n"/>
      <c r="M115" s="16" t="str"/>
      <c r="N115" s="16" t="str"/>
      <c r="O115" s="16" t="str"/>
      <c r="P115" s="16" t="str"/>
      <c r="Q115" s="16" t="str"/>
    </row>
    <row r="116" ht="42" customHeight="1">
      <c r="A116" s="16" t="inlineStr">
        <is>
          <t>CT09</t>
        </is>
      </c>
      <c r="B116" s="16" t="inlineStr">
        <is>
          <t>cash_cents</t>
        </is>
      </c>
      <c r="C116" s="16" t="inlineStr">
        <is>
          <t>§7.2, §8.3, I01, I03, I04, I05</t>
        </is>
      </c>
      <c r="D116" s="16" t="inlineStr">
        <is>
          <t>centavos BRL</t>
        </is>
      </c>
      <c r="E116" s="16" t="inlineStr">
        <is>
          <t>=</t>
        </is>
      </c>
      <c r="F116" s="32" t="n">
        <v>0</v>
      </c>
      <c r="G116" s="33" t="n"/>
      <c r="H116" s="32">
        <f>IF(AND(ISNUMBER(F116),ISNUMBER(G116)),G116-F116,"")</f>
        <v/>
      </c>
      <c r="I116" s="16">
        <f>IF(COUNTBLANK(G116)=1,"Não executado",IF(ISNUMBER(F116)&lt;&gt;ISNUMBER(G116),"Tipo incompatível",IF(IF(E116="&lt;&gt;",G116&lt;&gt;F116,G116=F116),IF(OR(J116="",K116="",NOT(ISNUMBER(L116)),L116&lt;=0),"Evidência pendente","Compatível"),"Divergente")))</f>
        <v/>
      </c>
      <c r="J116" s="12" t="str"/>
      <c r="K116" s="12" t="str"/>
      <c r="L116" s="28" t="n"/>
      <c r="M116" s="16" t="str"/>
      <c r="N116" s="16" t="str"/>
      <c r="O116" s="16" t="str"/>
      <c r="P116" s="16" t="str"/>
      <c r="Q116" s="16" t="str"/>
    </row>
    <row r="117" ht="42" customHeight="1">
      <c r="A117" s="16" t="inlineStr">
        <is>
          <t>CT09</t>
        </is>
      </c>
      <c r="B117" s="16" t="inlineStr">
        <is>
          <t>active_financial_representations</t>
        </is>
      </c>
      <c r="C117" s="16" t="inlineStr">
        <is>
          <t>§7.2, §8.3, I01, I03, I04, I05</t>
        </is>
      </c>
      <c r="D117" s="16" t="inlineStr">
        <is>
          <t>número</t>
        </is>
      </c>
      <c r="E117" s="16" t="inlineStr">
        <is>
          <t>=</t>
        </is>
      </c>
      <c r="F117" s="32" t="n">
        <v>1</v>
      </c>
      <c r="G117" s="33" t="n"/>
      <c r="H117" s="32">
        <f>IF(AND(ISNUMBER(F117),ISNUMBER(G117)),G117-F117,"")</f>
        <v/>
      </c>
      <c r="I117" s="16">
        <f>IF(COUNTBLANK(G117)=1,"Não executado",IF(ISNUMBER(F117)&lt;&gt;ISNUMBER(G117),"Tipo incompatível",IF(IF(E117="&lt;&gt;",G117&lt;&gt;F117,G117=F117),IF(OR(J117="",K117="",NOT(ISNUMBER(L117)),L117&lt;=0),"Evidência pendente","Compatível"),"Divergente")))</f>
        <v/>
      </c>
      <c r="J117" s="12" t="str"/>
      <c r="K117" s="12" t="str"/>
      <c r="L117" s="28" t="n"/>
      <c r="M117" s="16" t="str"/>
      <c r="N117" s="16" t="str"/>
      <c r="O117" s="16" t="str"/>
      <c r="P117" s="16" t="str"/>
      <c r="Q117" s="16" t="str"/>
    </row>
    <row r="118" ht="112" customHeight="1">
      <c r="A118" s="20" t="inlineStr">
        <is>
          <t>CT10</t>
        </is>
      </c>
      <c r="B118" s="20" t="inlineStr">
        <is>
          <t>after_cancellation_V_cents</t>
        </is>
      </c>
      <c r="C118" s="20" t="inlineStr">
        <is>
          <t>§7.1, §8.3, I02, I09, I10, I12</t>
        </is>
      </c>
      <c r="D118" s="20" t="inlineStr">
        <is>
          <t>centavos BRL</t>
        </is>
      </c>
      <c r="E118" s="20" t="inlineStr">
        <is>
          <t>=</t>
        </is>
      </c>
      <c r="F118" s="29" t="n">
        <v>0</v>
      </c>
      <c r="G118" s="30" t="n"/>
      <c r="H118" s="29">
        <f>IF(AND(ISNUMBER(F118),ISNUMBER(G118)),G118-F118,"")</f>
        <v/>
      </c>
      <c r="I118" s="20">
        <f>IF(COUNTBLANK(G118)=1,"Não executado",IF(ISNUMBER(F118)&lt;&gt;ISNUMBER(G118),"Tipo incompatível",IF(IF(E118="&lt;&gt;",G118&lt;&gt;F118,G118=F118),IF(OR(J118="",K118="",NOT(ISNUMBER(L118)),L118&lt;=0),"Evidência pendente","Compatível"),"Divergente")))</f>
        <v/>
      </c>
      <c r="J118" s="23" t="str"/>
      <c r="K118" s="23" t="str"/>
      <c r="L118" s="31" t="n"/>
      <c r="M118" s="20" t="inlineStr">
        <is>
          <t>Cancelamento econômico após pagamento e restituição parcial</t>
        </is>
      </c>
      <c r="N118" s="20" t="inlineStr">
        <is>
          <t>{"paid_advance_cents": 1000000, "cancelled_scope_cents": 1000000, "cash_refunded_later_cents": 600000}</t>
        </is>
      </c>
      <c r="O118" s="20" t="inlineStr">
        <is>
          <t>Pagar adiantamento de 10.000,00.
Rescindir o escopo e reconhecer direito de restituição.
Receber e conciliar restituição parcial de 6.000,00.</t>
        </is>
      </c>
      <c r="P118" s="20" t="inlineStr">
        <is>
          <t>Crédito a restituir após entrada = 10.000,00 − 6.000,00 = 4.000,00. Desembolso líquido = 4.000,00.
Q = 0,00 porque o escopo foi extinto; o direito a receber de 4.000,00 é apresentado separadamente, sem C negativo.</t>
        </is>
      </c>
      <c r="Q118" s="20" t="inlineStr">
        <is>
          <t>Compra ou escopo de 10.000,00 cancelado antes de execução/consumo, com direito integral de restituição comprovado. O antigo adiantamento deixa de pertencer ao preço vigente.
Cancelamento não produz entrada bancária. Não apagar os 10.000,00 desembolsados historicamente.</t>
        </is>
      </c>
    </row>
    <row r="119" ht="42" customHeight="1">
      <c r="A119" s="16" t="inlineStr">
        <is>
          <t>CT10</t>
        </is>
      </c>
      <c r="B119" s="16" t="inlineStr">
        <is>
          <t>after_cancellation_H_imputable_to_current_price_cents</t>
        </is>
      </c>
      <c r="C119" s="16" t="inlineStr">
        <is>
          <t>§7.1, §8.3, I02, I09, I10, I12</t>
        </is>
      </c>
      <c r="D119" s="16" t="inlineStr">
        <is>
          <t>centavos BRL</t>
        </is>
      </c>
      <c r="E119" s="16" t="inlineStr">
        <is>
          <t>=</t>
        </is>
      </c>
      <c r="F119" s="32" t="n">
        <v>0</v>
      </c>
      <c r="G119" s="33" t="n"/>
      <c r="H119" s="32">
        <f>IF(AND(ISNUMBER(F119),ISNUMBER(G119)),G119-F119,"")</f>
        <v/>
      </c>
      <c r="I119" s="16">
        <f>IF(COUNTBLANK(G119)=1,"Não executado",IF(ISNUMBER(F119)&lt;&gt;ISNUMBER(G119),"Tipo incompatível",IF(IF(E119="&lt;&gt;",G119&lt;&gt;F119,G119=F119),IF(OR(J119="",K119="",NOT(ISNUMBER(L119)),L119&lt;=0),"Evidência pendente","Compatível"),"Divergente")))</f>
        <v/>
      </c>
      <c r="J119" s="12" t="str"/>
      <c r="K119" s="12" t="str"/>
      <c r="L119" s="28" t="n"/>
      <c r="M119" s="16" t="str"/>
      <c r="N119" s="16" t="str"/>
      <c r="O119" s="16" t="str"/>
      <c r="P119" s="16" t="str"/>
      <c r="Q119" s="16" t="str"/>
    </row>
    <row r="120" ht="42" customHeight="1">
      <c r="A120" s="16" t="inlineStr">
        <is>
          <t>CT10</t>
        </is>
      </c>
      <c r="B120" s="16" t="inlineStr">
        <is>
          <t>after_cancellation_C_cents</t>
        </is>
      </c>
      <c r="C120" s="16" t="inlineStr">
        <is>
          <t>§7.1, §8.3, I02, I09, I10, I12</t>
        </is>
      </c>
      <c r="D120" s="16" t="inlineStr">
        <is>
          <t>centavos BRL</t>
        </is>
      </c>
      <c r="E120" s="16" t="inlineStr">
        <is>
          <t>=</t>
        </is>
      </c>
      <c r="F120" s="32" t="n">
        <v>0</v>
      </c>
      <c r="G120" s="33" t="n"/>
      <c r="H120" s="32">
        <f>IF(AND(ISNUMBER(F120),ISNUMBER(G120)),G120-F120,"")</f>
        <v/>
      </c>
      <c r="I120" s="16">
        <f>IF(COUNTBLANK(G120)=1,"Não executado",IF(ISNUMBER(F120)&lt;&gt;ISNUMBER(G120),"Tipo incompatível",IF(IF(E120="&lt;&gt;",G120&lt;&gt;F120,G120=F120),IF(OR(J120="",K120="",NOT(ISNUMBER(L120)),L120&lt;=0),"Evidência pendente","Compatível"),"Divergente")))</f>
        <v/>
      </c>
      <c r="J120" s="12" t="str"/>
      <c r="K120" s="12" t="str"/>
      <c r="L120" s="28" t="n"/>
      <c r="M120" s="16" t="str"/>
      <c r="N120" s="16" t="str"/>
      <c r="O120" s="16" t="str"/>
      <c r="P120" s="16" t="str"/>
      <c r="Q120" s="16" t="str"/>
    </row>
    <row r="121" ht="42" customHeight="1">
      <c r="A121" s="16" t="inlineStr">
        <is>
          <t>CT10</t>
        </is>
      </c>
      <c r="B121" s="16" t="inlineStr">
        <is>
          <t>after_cancellation_R_cents</t>
        </is>
      </c>
      <c r="C121" s="16" t="inlineStr">
        <is>
          <t>§7.1, §8.3, I02, I09, I10, I12</t>
        </is>
      </c>
      <c r="D121" s="16" t="inlineStr">
        <is>
          <t>centavos BRL</t>
        </is>
      </c>
      <c r="E121" s="16" t="inlineStr">
        <is>
          <t>=</t>
        </is>
      </c>
      <c r="F121" s="32" t="n">
        <v>0</v>
      </c>
      <c r="G121" s="33" t="n"/>
      <c r="H121" s="32">
        <f>IF(AND(ISNUMBER(F121),ISNUMBER(G121)),G121-F121,"")</f>
        <v/>
      </c>
      <c r="I121" s="16">
        <f>IF(COUNTBLANK(G121)=1,"Não executado",IF(ISNUMBER(F121)&lt;&gt;ISNUMBER(G121),"Tipo incompatível",IF(IF(E121="&lt;&gt;",G121&lt;&gt;F121,G121=F121),IF(OR(J121="",K121="",NOT(ISNUMBER(L121)),L121&lt;=0),"Evidência pendente","Compatível"),"Divergente")))</f>
        <v/>
      </c>
      <c r="J121" s="12" t="str"/>
      <c r="K121" s="12" t="str"/>
      <c r="L121" s="28" t="n"/>
      <c r="M121" s="16" t="str"/>
      <c r="N121" s="16" t="str"/>
      <c r="O121" s="16" t="str"/>
      <c r="P121" s="16" t="str"/>
      <c r="Q121" s="16" t="str"/>
    </row>
    <row r="122" ht="42" customHeight="1">
      <c r="A122" s="16" t="inlineStr">
        <is>
          <t>CT10</t>
        </is>
      </c>
      <c r="B122" s="16" t="inlineStr">
        <is>
          <t>after_cancellation_Q_cents</t>
        </is>
      </c>
      <c r="C122" s="16" t="inlineStr">
        <is>
          <t>§7.1, §8.3, I02, I09, I10, I12</t>
        </is>
      </c>
      <c r="D122" s="16" t="inlineStr">
        <is>
          <t>centavos BRL</t>
        </is>
      </c>
      <c r="E122" s="16" t="inlineStr">
        <is>
          <t>=</t>
        </is>
      </c>
      <c r="F122" s="32" t="n">
        <v>0</v>
      </c>
      <c r="G122" s="33" t="n"/>
      <c r="H122" s="32">
        <f>IF(AND(ISNUMBER(F122),ISNUMBER(G122)),G122-F122,"")</f>
        <v/>
      </c>
      <c r="I122" s="16">
        <f>IF(COUNTBLANK(G122)=1,"Não executado",IF(ISNUMBER(F122)&lt;&gt;ISNUMBER(G122),"Tipo incompatível",IF(IF(E122="&lt;&gt;",G122&lt;&gt;F122,G122=F122),IF(OR(J122="",K122="",NOT(ISNUMBER(L122)),L122&lt;=0),"Evidência pendente","Compatível"),"Divergente")))</f>
        <v/>
      </c>
      <c r="J122" s="12" t="str"/>
      <c r="K122" s="12" t="str"/>
      <c r="L122" s="28" t="n"/>
      <c r="M122" s="16" t="str"/>
      <c r="N122" s="16" t="str"/>
      <c r="O122" s="16" t="str"/>
      <c r="P122" s="16" t="str"/>
      <c r="Q122" s="16" t="str"/>
    </row>
    <row r="123" ht="42" customHeight="1">
      <c r="A123" s="16" t="inlineStr">
        <is>
          <t>CT10</t>
        </is>
      </c>
      <c r="B123" s="16" t="inlineStr">
        <is>
          <t>refund_right_before_receipt_cents</t>
        </is>
      </c>
      <c r="C123" s="16" t="inlineStr">
        <is>
          <t>§7.1, §8.3, I02, I09, I10, I12</t>
        </is>
      </c>
      <c r="D123" s="16" t="inlineStr">
        <is>
          <t>centavos BRL</t>
        </is>
      </c>
      <c r="E123" s="16" t="inlineStr">
        <is>
          <t>=</t>
        </is>
      </c>
      <c r="F123" s="32" t="n">
        <v>1000000</v>
      </c>
      <c r="G123" s="33" t="n"/>
      <c r="H123" s="32">
        <f>IF(AND(ISNUMBER(F123),ISNUMBER(G123)),G123-F123,"")</f>
        <v/>
      </c>
      <c r="I123" s="16">
        <f>IF(COUNTBLANK(G123)=1,"Não executado",IF(ISNUMBER(F123)&lt;&gt;ISNUMBER(G123),"Tipo incompatível",IF(IF(E123="&lt;&gt;",G123&lt;&gt;F123,G123=F123),IF(OR(J123="",K123="",NOT(ISNUMBER(L123)),L123&lt;=0),"Evidência pendente","Compatível"),"Divergente")))</f>
        <v/>
      </c>
      <c r="J123" s="12" t="str"/>
      <c r="K123" s="12" t="str"/>
      <c r="L123" s="28" t="n"/>
      <c r="M123" s="16" t="str"/>
      <c r="N123" s="16" t="str"/>
      <c r="O123" s="16" t="str"/>
      <c r="P123" s="16" t="str"/>
      <c r="Q123" s="16" t="str"/>
    </row>
    <row r="124" ht="42" customHeight="1">
      <c r="A124" s="16" t="inlineStr">
        <is>
          <t>CT10</t>
        </is>
      </c>
      <c r="B124" s="16" t="inlineStr">
        <is>
          <t>refund_right_after_receipt_cents</t>
        </is>
      </c>
      <c r="C124" s="16" t="inlineStr">
        <is>
          <t>§7.1, §8.3, I02, I09, I10, I12</t>
        </is>
      </c>
      <c r="D124" s="16" t="inlineStr">
        <is>
          <t>centavos BRL</t>
        </is>
      </c>
      <c r="E124" s="16" t="inlineStr">
        <is>
          <t>=</t>
        </is>
      </c>
      <c r="F124" s="32" t="n">
        <v>400000</v>
      </c>
      <c r="G124" s="33" t="n"/>
      <c r="H124" s="32">
        <f>IF(AND(ISNUMBER(F124),ISNUMBER(G124)),G124-F124,"")</f>
        <v/>
      </c>
      <c r="I124" s="16">
        <f>IF(COUNTBLANK(G124)=1,"Não executado",IF(ISNUMBER(F124)&lt;&gt;ISNUMBER(G124),"Tipo incompatível",IF(IF(E124="&lt;&gt;",G124&lt;&gt;F124,G124=F124),IF(OR(J124="",K124="",NOT(ISNUMBER(L124)),L124&lt;=0),"Evidência pendente","Compatível"),"Divergente")))</f>
        <v/>
      </c>
      <c r="J124" s="12" t="str"/>
      <c r="K124" s="12" t="str"/>
      <c r="L124" s="28" t="n"/>
      <c r="M124" s="16" t="str"/>
      <c r="N124" s="16" t="str"/>
      <c r="O124" s="16" t="str"/>
      <c r="P124" s="16" t="str"/>
      <c r="Q124" s="16" t="str"/>
    </row>
    <row r="125" ht="42" customHeight="1">
      <c r="A125" s="16" t="inlineStr">
        <is>
          <t>CT10</t>
        </is>
      </c>
      <c r="B125" s="16" t="inlineStr">
        <is>
          <t>historical_gross_outflow_cents</t>
        </is>
      </c>
      <c r="C125" s="16" t="inlineStr">
        <is>
          <t>§7.1, §8.3, I02, I09, I10, I12</t>
        </is>
      </c>
      <c r="D125" s="16" t="inlineStr">
        <is>
          <t>centavos BRL</t>
        </is>
      </c>
      <c r="E125" s="16" t="inlineStr">
        <is>
          <t>=</t>
        </is>
      </c>
      <c r="F125" s="32" t="n">
        <v>1000000</v>
      </c>
      <c r="G125" s="33" t="n"/>
      <c r="H125" s="32">
        <f>IF(AND(ISNUMBER(F125),ISNUMBER(G125)),G125-F125,"")</f>
        <v/>
      </c>
      <c r="I125" s="16">
        <f>IF(COUNTBLANK(G125)=1,"Não executado",IF(ISNUMBER(F125)&lt;&gt;ISNUMBER(G125),"Tipo incompatível",IF(IF(E125="&lt;&gt;",G125&lt;&gt;F125,G125=F125),IF(OR(J125="",K125="",NOT(ISNUMBER(L125)),L125&lt;=0),"Evidência pendente","Compatível"),"Divergente")))</f>
        <v/>
      </c>
      <c r="J125" s="12" t="str"/>
      <c r="K125" s="12" t="str"/>
      <c r="L125" s="28" t="n"/>
      <c r="M125" s="16" t="str"/>
      <c r="N125" s="16" t="str"/>
      <c r="O125" s="16" t="str"/>
      <c r="P125" s="16" t="str"/>
      <c r="Q125" s="16" t="str"/>
    </row>
    <row r="126" ht="42" customHeight="1">
      <c r="A126" s="16" t="inlineStr">
        <is>
          <t>CT10</t>
        </is>
      </c>
      <c r="B126" s="16" t="inlineStr">
        <is>
          <t>confirmed_refund_cents</t>
        </is>
      </c>
      <c r="C126" s="16" t="inlineStr">
        <is>
          <t>§7.1, §8.3, I02, I09, I10, I12</t>
        </is>
      </c>
      <c r="D126" s="16" t="inlineStr">
        <is>
          <t>centavos BRL</t>
        </is>
      </c>
      <c r="E126" s="16" t="inlineStr">
        <is>
          <t>=</t>
        </is>
      </c>
      <c r="F126" s="32" t="n">
        <v>600000</v>
      </c>
      <c r="G126" s="33" t="n"/>
      <c r="H126" s="32">
        <f>IF(AND(ISNUMBER(F126),ISNUMBER(G126)),G126-F126,"")</f>
        <v/>
      </c>
      <c r="I126" s="16">
        <f>IF(COUNTBLANK(G126)=1,"Não executado",IF(ISNUMBER(F126)&lt;&gt;ISNUMBER(G126),"Tipo incompatível",IF(IF(E126="&lt;&gt;",G126&lt;&gt;F126,G126=F126),IF(OR(J126="",K126="",NOT(ISNUMBER(L126)),L126&lt;=0),"Evidência pendente","Compatível"),"Divergente")))</f>
        <v/>
      </c>
      <c r="J126" s="12" t="str"/>
      <c r="K126" s="12" t="str"/>
      <c r="L126" s="28" t="n"/>
      <c r="M126" s="16" t="str"/>
      <c r="N126" s="16" t="str"/>
      <c r="O126" s="16" t="str"/>
      <c r="P126" s="16" t="str"/>
      <c r="Q126" s="16" t="str"/>
    </row>
    <row r="127" ht="42" customHeight="1">
      <c r="A127" s="16" t="inlineStr">
        <is>
          <t>CT10</t>
        </is>
      </c>
      <c r="B127" s="16" t="inlineStr">
        <is>
          <t>net_outflow_cents</t>
        </is>
      </c>
      <c r="C127" s="16" t="inlineStr">
        <is>
          <t>§7.1, §8.3, I02, I09, I10, I12</t>
        </is>
      </c>
      <c r="D127" s="16" t="inlineStr">
        <is>
          <t>centavos BRL</t>
        </is>
      </c>
      <c r="E127" s="16" t="inlineStr">
        <is>
          <t>=</t>
        </is>
      </c>
      <c r="F127" s="32" t="n">
        <v>400000</v>
      </c>
      <c r="G127" s="33" t="n"/>
      <c r="H127" s="32">
        <f>IF(AND(ISNUMBER(F127),ISNUMBER(G127)),G127-F127,"")</f>
        <v/>
      </c>
      <c r="I127" s="16">
        <f>IF(COUNTBLANK(G127)=1,"Não executado",IF(ISNUMBER(F127)&lt;&gt;ISNUMBER(G127),"Tipo incompatível",IF(IF(E127="&lt;&gt;",G127&lt;&gt;F127,G127=F127),IF(OR(J127="",K127="",NOT(ISNUMBER(L127)),L127&lt;=0),"Evidência pendente","Compatível"),"Divergente")))</f>
        <v/>
      </c>
      <c r="J127" s="12" t="str"/>
      <c r="K127" s="12" t="str"/>
      <c r="L127" s="28" t="n"/>
      <c r="M127" s="16" t="str"/>
      <c r="N127" s="16" t="str"/>
      <c r="O127" s="16" t="str"/>
      <c r="P127" s="16" t="str"/>
      <c r="Q127" s="16" t="str"/>
    </row>
    <row r="128" ht="42" customHeight="1">
      <c r="A128" s="16" t="inlineStr">
        <is>
          <t>CT10</t>
        </is>
      </c>
      <c r="B128" s="16" t="inlineStr">
        <is>
          <t>cost_cents</t>
        </is>
      </c>
      <c r="C128" s="16" t="inlineStr">
        <is>
          <t>§7.1, §8.3, I02, I09, I10, I12</t>
        </is>
      </c>
      <c r="D128" s="16" t="inlineStr">
        <is>
          <t>centavos BRL</t>
        </is>
      </c>
      <c r="E128" s="16" t="inlineStr">
        <is>
          <t>=</t>
        </is>
      </c>
      <c r="F128" s="32" t="n">
        <v>0</v>
      </c>
      <c r="G128" s="33" t="n"/>
      <c r="H128" s="32">
        <f>IF(AND(ISNUMBER(F128),ISNUMBER(G128)),G128-F128,"")</f>
        <v/>
      </c>
      <c r="I128" s="16">
        <f>IF(COUNTBLANK(G128)=1,"Não executado",IF(ISNUMBER(F128)&lt;&gt;ISNUMBER(G128),"Tipo incompatível",IF(IF(E128="&lt;&gt;",G128&lt;&gt;F128,G128=F128),IF(OR(J128="",K128="",NOT(ISNUMBER(L128)),L128&lt;=0),"Evidência pendente","Compatível"),"Divergente")))</f>
        <v/>
      </c>
      <c r="J128" s="12" t="str"/>
      <c r="K128" s="12" t="str"/>
      <c r="L128" s="28" t="n"/>
      <c r="M128" s="16" t="str"/>
      <c r="N128" s="16" t="str"/>
      <c r="O128" s="16" t="str"/>
      <c r="P128" s="16" t="str"/>
      <c r="Q128" s="16" t="str"/>
    </row>
    <row r="129" ht="112" customHeight="1">
      <c r="A129" s="20" t="inlineStr">
        <is>
          <t>CT11</t>
        </is>
      </c>
      <c r="B129" s="20" t="inlineStr">
        <is>
          <t>proportional_fixture.cost_A_cents</t>
        </is>
      </c>
      <c r="C129" s="20" t="inlineStr">
        <is>
          <t>§9, §12.5, I01, I02, I22</t>
        </is>
      </c>
      <c r="D129" s="20" t="inlineStr">
        <is>
          <t>centavos BRL</t>
        </is>
      </c>
      <c r="E129" s="20" t="inlineStr">
        <is>
          <t>=</t>
        </is>
      </c>
      <c r="F129" s="29" t="n">
        <v>600000</v>
      </c>
      <c r="G129" s="30" t="n"/>
      <c r="H129" s="29">
        <f>IF(AND(ISNUMBER(F129),ISNUMBER(G129)),G129-F129,"")</f>
        <v/>
      </c>
      <c r="I129" s="20">
        <f>IF(COUNTBLANK(G129)=1,"Não executado",IF(ISNUMBER(F129)&lt;&gt;ISNUMBER(G129),"Tipo incompatível",IF(IF(E129="&lt;&gt;",G129&lt;&gt;F129,G129=F129),IF(OR(J129="",K129="",NOT(ISNUMBER(L129)),L129&lt;=0),"Evidência pendente","Compatível"),"Divergente")))</f>
        <v/>
      </c>
      <c r="J129" s="23" t="str"/>
      <c r="K129" s="23" t="str"/>
      <c r="L129" s="31" t="n"/>
      <c r="M129" s="20" t="inlineStr">
        <is>
          <t>Rateio monetário parcial e arredondamento conservativo</t>
        </is>
      </c>
      <c r="N129" s="20" t="inlineStr">
        <is>
          <t>{"proportional_fixture": {"document_cents": 1000000, "obra_A_weight": 60, "obra_B_weight": 40, "partial_payment_cents": 300000}, "rounding_fixture": {"amount_cents": 10001, "weights": {"A": 1, "B": 1, "C": 1}}}</t>
        </is>
      </c>
      <c r="O129" s="20" t="inlineStr">
        <is>
          <t>Alocar custo de 10.000,00 em 60% e 40%; pagar 3.000,00.
Alocar separadamente 100,01 entre três obras com pesos iguais.</t>
        </is>
      </c>
      <c r="P129" s="20" t="inlineStr">
        <is>
          <t>Custo: 10.000,00×60%=6.000,00 e ×40%=4.000,00. Caixa: 3.000,00×60%=1.800,00 e ×40%=1.200,00.
100,01÷3 produz restos iguais. Aplicar os dois centavos residuais a A e B: 33,34 + 33,34 + 33,33 = 100,01.</t>
        </is>
      </c>
      <c r="Q129" s="20" t="inlineStr">
        <is>
          <t>D05: pagamento parcial distribuído proporcionalmente; resíduos pelo maior resto e desempate por ID de obra ascendente. Duas fixtures independentes.
Não somar o título pai e suas alocações. Mesma entrada gera o mesmo centavo por obra em repetições.
Concatenar nomes A|B sem valores não satisfaz o aceite do rateio.</t>
        </is>
      </c>
    </row>
    <row r="130" ht="42" customHeight="1">
      <c r="A130" s="16" t="inlineStr">
        <is>
          <t>CT11</t>
        </is>
      </c>
      <c r="B130" s="16" t="inlineStr">
        <is>
          <t>proportional_fixture.cost_B_cents</t>
        </is>
      </c>
      <c r="C130" s="16" t="inlineStr">
        <is>
          <t>§9, §12.5, I01, I02, I22</t>
        </is>
      </c>
      <c r="D130" s="16" t="inlineStr">
        <is>
          <t>centavos BRL</t>
        </is>
      </c>
      <c r="E130" s="16" t="inlineStr">
        <is>
          <t>=</t>
        </is>
      </c>
      <c r="F130" s="32" t="n">
        <v>400000</v>
      </c>
      <c r="G130" s="33" t="n"/>
      <c r="H130" s="32">
        <f>IF(AND(ISNUMBER(F130),ISNUMBER(G130)),G130-F130,"")</f>
        <v/>
      </c>
      <c r="I130" s="16">
        <f>IF(COUNTBLANK(G130)=1,"Não executado",IF(ISNUMBER(F130)&lt;&gt;ISNUMBER(G130),"Tipo incompatível",IF(IF(E130="&lt;&gt;",G130&lt;&gt;F130,G130=F130),IF(OR(J130="",K130="",NOT(ISNUMBER(L130)),L130&lt;=0),"Evidência pendente","Compatível"),"Divergente")))</f>
        <v/>
      </c>
      <c r="J130" s="12" t="str"/>
      <c r="K130" s="12" t="str"/>
      <c r="L130" s="28" t="n"/>
      <c r="M130" s="16" t="str"/>
      <c r="N130" s="16" t="str"/>
      <c r="O130" s="16" t="str"/>
      <c r="P130" s="16" t="str"/>
      <c r="Q130" s="16" t="str"/>
    </row>
    <row r="131" ht="42" customHeight="1">
      <c r="A131" s="16" t="inlineStr">
        <is>
          <t>CT11</t>
        </is>
      </c>
      <c r="B131" s="16" t="inlineStr">
        <is>
          <t>proportional_fixture.cash_A_cents</t>
        </is>
      </c>
      <c r="C131" s="16" t="inlineStr">
        <is>
          <t>§9, §12.5, I01, I02, I22</t>
        </is>
      </c>
      <c r="D131" s="16" t="inlineStr">
        <is>
          <t>centavos BRL</t>
        </is>
      </c>
      <c r="E131" s="16" t="inlineStr">
        <is>
          <t>=</t>
        </is>
      </c>
      <c r="F131" s="32" t="n">
        <v>180000</v>
      </c>
      <c r="G131" s="33" t="n"/>
      <c r="H131" s="32">
        <f>IF(AND(ISNUMBER(F131),ISNUMBER(G131)),G131-F131,"")</f>
        <v/>
      </c>
      <c r="I131" s="16">
        <f>IF(COUNTBLANK(G131)=1,"Não executado",IF(ISNUMBER(F131)&lt;&gt;ISNUMBER(G131),"Tipo incompatível",IF(IF(E131="&lt;&gt;",G131&lt;&gt;F131,G131=F131),IF(OR(J131="",K131="",NOT(ISNUMBER(L131)),L131&lt;=0),"Evidência pendente","Compatível"),"Divergente")))</f>
        <v/>
      </c>
      <c r="J131" s="12" t="str"/>
      <c r="K131" s="12" t="str"/>
      <c r="L131" s="28" t="n"/>
      <c r="M131" s="16" t="str"/>
      <c r="N131" s="16" t="str"/>
      <c r="O131" s="16" t="str"/>
      <c r="P131" s="16" t="str"/>
      <c r="Q131" s="16" t="str"/>
    </row>
    <row r="132" ht="42" customHeight="1">
      <c r="A132" s="16" t="inlineStr">
        <is>
          <t>CT11</t>
        </is>
      </c>
      <c r="B132" s="16" t="inlineStr">
        <is>
          <t>proportional_fixture.cash_B_cents</t>
        </is>
      </c>
      <c r="C132" s="16" t="inlineStr">
        <is>
          <t>§9, §12.5, I01, I02, I22</t>
        </is>
      </c>
      <c r="D132" s="16" t="inlineStr">
        <is>
          <t>centavos BRL</t>
        </is>
      </c>
      <c r="E132" s="16" t="inlineStr">
        <is>
          <t>=</t>
        </is>
      </c>
      <c r="F132" s="32" t="n">
        <v>120000</v>
      </c>
      <c r="G132" s="33" t="n"/>
      <c r="H132" s="32">
        <f>IF(AND(ISNUMBER(F132),ISNUMBER(G132)),G132-F132,"")</f>
        <v/>
      </c>
      <c r="I132" s="16">
        <f>IF(COUNTBLANK(G132)=1,"Não executado",IF(ISNUMBER(F132)&lt;&gt;ISNUMBER(G132),"Tipo incompatível",IF(IF(E132="&lt;&gt;",G132&lt;&gt;F132,G132=F132),IF(OR(J132="",K132="",NOT(ISNUMBER(L132)),L132&lt;=0),"Evidência pendente","Compatível"),"Divergente")))</f>
        <v/>
      </c>
      <c r="J132" s="12" t="str"/>
      <c r="K132" s="12" t="str"/>
      <c r="L132" s="28" t="n"/>
      <c r="M132" s="16" t="str"/>
      <c r="N132" s="16" t="str"/>
      <c r="O132" s="16" t="str"/>
      <c r="P132" s="16" t="str"/>
      <c r="Q132" s="16" t="str"/>
    </row>
    <row r="133" ht="42" customHeight="1">
      <c r="A133" s="16" t="inlineStr">
        <is>
          <t>CT11</t>
        </is>
      </c>
      <c r="B133" s="16" t="inlineStr">
        <is>
          <t>proportional_fixture.remaining_A_cents</t>
        </is>
      </c>
      <c r="C133" s="16" t="inlineStr">
        <is>
          <t>§9, §12.5, I01, I02, I22</t>
        </is>
      </c>
      <c r="D133" s="16" t="inlineStr">
        <is>
          <t>centavos BRL</t>
        </is>
      </c>
      <c r="E133" s="16" t="inlineStr">
        <is>
          <t>=</t>
        </is>
      </c>
      <c r="F133" s="32" t="n">
        <v>420000</v>
      </c>
      <c r="G133" s="33" t="n"/>
      <c r="H133" s="32">
        <f>IF(AND(ISNUMBER(F133),ISNUMBER(G133)),G133-F133,"")</f>
        <v/>
      </c>
      <c r="I133" s="16">
        <f>IF(COUNTBLANK(G133)=1,"Não executado",IF(ISNUMBER(F133)&lt;&gt;ISNUMBER(G133),"Tipo incompatível",IF(IF(E133="&lt;&gt;",G133&lt;&gt;F133,G133=F133),IF(OR(J133="",K133="",NOT(ISNUMBER(L133)),L133&lt;=0),"Evidência pendente","Compatível"),"Divergente")))</f>
        <v/>
      </c>
      <c r="J133" s="12" t="str"/>
      <c r="K133" s="12" t="str"/>
      <c r="L133" s="28" t="n"/>
      <c r="M133" s="16" t="str"/>
      <c r="N133" s="16" t="str"/>
      <c r="O133" s="16" t="str"/>
      <c r="P133" s="16" t="str"/>
      <c r="Q133" s="16" t="str"/>
    </row>
    <row r="134" ht="42" customHeight="1">
      <c r="A134" s="16" t="inlineStr">
        <is>
          <t>CT11</t>
        </is>
      </c>
      <c r="B134" s="16" t="inlineStr">
        <is>
          <t>proportional_fixture.remaining_B_cents</t>
        </is>
      </c>
      <c r="C134" s="16" t="inlineStr">
        <is>
          <t>§9, §12.5, I01, I02, I22</t>
        </is>
      </c>
      <c r="D134" s="16" t="inlineStr">
        <is>
          <t>centavos BRL</t>
        </is>
      </c>
      <c r="E134" s="16" t="inlineStr">
        <is>
          <t>=</t>
        </is>
      </c>
      <c r="F134" s="32" t="n">
        <v>280000</v>
      </c>
      <c r="G134" s="33" t="n"/>
      <c r="H134" s="32">
        <f>IF(AND(ISNUMBER(F134),ISNUMBER(G134)),G134-F134,"")</f>
        <v/>
      </c>
      <c r="I134" s="16">
        <f>IF(COUNTBLANK(G134)=1,"Não executado",IF(ISNUMBER(F134)&lt;&gt;ISNUMBER(G134),"Tipo incompatível",IF(IF(E134="&lt;&gt;",G134&lt;&gt;F134,G134=F134),IF(OR(J134="",K134="",NOT(ISNUMBER(L134)),L134&lt;=0),"Evidência pendente","Compatível"),"Divergente")))</f>
        <v/>
      </c>
      <c r="J134" s="12" t="str"/>
      <c r="K134" s="12" t="str"/>
      <c r="L134" s="28" t="n"/>
      <c r="M134" s="16" t="str"/>
      <c r="N134" s="16" t="str"/>
      <c r="O134" s="16" t="str"/>
      <c r="P134" s="16" t="str"/>
      <c r="Q134" s="16" t="str"/>
    </row>
    <row r="135" ht="42" customHeight="1">
      <c r="A135" s="16" t="inlineStr">
        <is>
          <t>CT11</t>
        </is>
      </c>
      <c r="B135" s="16" t="inlineStr">
        <is>
          <t>rounding_fixture.A_cents</t>
        </is>
      </c>
      <c r="C135" s="16" t="inlineStr">
        <is>
          <t>§9, §12.5, I01, I02, I22</t>
        </is>
      </c>
      <c r="D135" s="16" t="inlineStr">
        <is>
          <t>centavos BRL</t>
        </is>
      </c>
      <c r="E135" s="16" t="inlineStr">
        <is>
          <t>=</t>
        </is>
      </c>
      <c r="F135" s="32" t="n">
        <v>3334</v>
      </c>
      <c r="G135" s="33" t="n"/>
      <c r="H135" s="32">
        <f>IF(AND(ISNUMBER(F135),ISNUMBER(G135)),G135-F135,"")</f>
        <v/>
      </c>
      <c r="I135" s="16">
        <f>IF(COUNTBLANK(G135)=1,"Não executado",IF(ISNUMBER(F135)&lt;&gt;ISNUMBER(G135),"Tipo incompatível",IF(IF(E135="&lt;&gt;",G135&lt;&gt;F135,G135=F135),IF(OR(J135="",K135="",NOT(ISNUMBER(L135)),L135&lt;=0),"Evidência pendente","Compatível"),"Divergente")))</f>
        <v/>
      </c>
      <c r="J135" s="12" t="str"/>
      <c r="K135" s="12" t="str"/>
      <c r="L135" s="28" t="n"/>
      <c r="M135" s="16" t="str"/>
      <c r="N135" s="16" t="str"/>
      <c r="O135" s="16" t="str"/>
      <c r="P135" s="16" t="str"/>
      <c r="Q135" s="16" t="str"/>
    </row>
    <row r="136" ht="42" customHeight="1">
      <c r="A136" s="16" t="inlineStr">
        <is>
          <t>CT11</t>
        </is>
      </c>
      <c r="B136" s="16" t="inlineStr">
        <is>
          <t>rounding_fixture.B_cents</t>
        </is>
      </c>
      <c r="C136" s="16" t="inlineStr">
        <is>
          <t>§9, §12.5, I01, I02, I22</t>
        </is>
      </c>
      <c r="D136" s="16" t="inlineStr">
        <is>
          <t>centavos BRL</t>
        </is>
      </c>
      <c r="E136" s="16" t="inlineStr">
        <is>
          <t>=</t>
        </is>
      </c>
      <c r="F136" s="32" t="n">
        <v>3334</v>
      </c>
      <c r="G136" s="33" t="n"/>
      <c r="H136" s="32">
        <f>IF(AND(ISNUMBER(F136),ISNUMBER(G136)),G136-F136,"")</f>
        <v/>
      </c>
      <c r="I136" s="16">
        <f>IF(COUNTBLANK(G136)=1,"Não executado",IF(ISNUMBER(F136)&lt;&gt;ISNUMBER(G136),"Tipo incompatível",IF(IF(E136="&lt;&gt;",G136&lt;&gt;F136,G136=F136),IF(OR(J136="",K136="",NOT(ISNUMBER(L136)),L136&lt;=0),"Evidência pendente","Compatível"),"Divergente")))</f>
        <v/>
      </c>
      <c r="J136" s="12" t="str"/>
      <c r="K136" s="12" t="str"/>
      <c r="L136" s="28" t="n"/>
      <c r="M136" s="16" t="str"/>
      <c r="N136" s="16" t="str"/>
      <c r="O136" s="16" t="str"/>
      <c r="P136" s="16" t="str"/>
      <c r="Q136" s="16" t="str"/>
    </row>
    <row r="137" ht="42" customHeight="1">
      <c r="A137" s="16" t="inlineStr">
        <is>
          <t>CT11</t>
        </is>
      </c>
      <c r="B137" s="16" t="inlineStr">
        <is>
          <t>rounding_fixture.C_cents</t>
        </is>
      </c>
      <c r="C137" s="16" t="inlineStr">
        <is>
          <t>§9, §12.5, I01, I02, I22</t>
        </is>
      </c>
      <c r="D137" s="16" t="inlineStr">
        <is>
          <t>centavos BRL</t>
        </is>
      </c>
      <c r="E137" s="16" t="inlineStr">
        <is>
          <t>=</t>
        </is>
      </c>
      <c r="F137" s="32" t="n">
        <v>3333</v>
      </c>
      <c r="G137" s="33" t="n"/>
      <c r="H137" s="32">
        <f>IF(AND(ISNUMBER(F137),ISNUMBER(G137)),G137-F137,"")</f>
        <v/>
      </c>
      <c r="I137" s="16">
        <f>IF(COUNTBLANK(G137)=1,"Não executado",IF(ISNUMBER(F137)&lt;&gt;ISNUMBER(G137),"Tipo incompatível",IF(IF(E137="&lt;&gt;",G137&lt;&gt;F137,G137=F137),IF(OR(J137="",K137="",NOT(ISNUMBER(L137)),L137&lt;=0),"Evidência pendente","Compatível"),"Divergente")))</f>
        <v/>
      </c>
      <c r="J137" s="12" t="str"/>
      <c r="K137" s="12" t="str"/>
      <c r="L137" s="28" t="n"/>
      <c r="M137" s="16" t="str"/>
      <c r="N137" s="16" t="str"/>
      <c r="O137" s="16" t="str"/>
      <c r="P137" s="16" t="str"/>
      <c r="Q137" s="16" t="str"/>
    </row>
    <row r="138" ht="42" customHeight="1">
      <c r="A138" s="16" t="inlineStr">
        <is>
          <t>CT11</t>
        </is>
      </c>
      <c r="B138" s="16" t="inlineStr">
        <is>
          <t>rounding_fixture.sum_cents</t>
        </is>
      </c>
      <c r="C138" s="16" t="inlineStr">
        <is>
          <t>§9, §12.5, I01, I02, I22</t>
        </is>
      </c>
      <c r="D138" s="16" t="inlineStr">
        <is>
          <t>centavos BRL</t>
        </is>
      </c>
      <c r="E138" s="16" t="inlineStr">
        <is>
          <t>=</t>
        </is>
      </c>
      <c r="F138" s="32" t="n">
        <v>10001</v>
      </c>
      <c r="G138" s="33" t="n"/>
      <c r="H138" s="32">
        <f>IF(AND(ISNUMBER(F138),ISNUMBER(G138)),G138-F138,"")</f>
        <v/>
      </c>
      <c r="I138" s="16">
        <f>IF(COUNTBLANK(G138)=1,"Não executado",IF(ISNUMBER(F138)&lt;&gt;ISNUMBER(G138),"Tipo incompatível",IF(IF(E138="&lt;&gt;",G138&lt;&gt;F138,G138=F138),IF(OR(J138="",K138="",NOT(ISNUMBER(L138)),L138&lt;=0),"Evidência pendente","Compatível"),"Divergente")))</f>
        <v/>
      </c>
      <c r="J138" s="12" t="str"/>
      <c r="K138" s="12" t="str"/>
      <c r="L138" s="28" t="n"/>
      <c r="M138" s="16" t="str"/>
      <c r="N138" s="16" t="str"/>
      <c r="O138" s="16" t="str"/>
      <c r="P138" s="16" t="str"/>
      <c r="Q138" s="16" t="str"/>
    </row>
    <row r="139" ht="42" customHeight="1">
      <c r="A139" s="16" t="inlineStr">
        <is>
          <t>CT11</t>
        </is>
      </c>
      <c r="B139" s="16" t="inlineStr">
        <is>
          <t>rounding_fixture.unallocated_cents</t>
        </is>
      </c>
      <c r="C139" s="16" t="inlineStr">
        <is>
          <t>§9, §12.5, I01, I02, I22</t>
        </is>
      </c>
      <c r="D139" s="16" t="inlineStr">
        <is>
          <t>centavos BRL</t>
        </is>
      </c>
      <c r="E139" s="16" t="inlineStr">
        <is>
          <t>=</t>
        </is>
      </c>
      <c r="F139" s="32" t="n">
        <v>0</v>
      </c>
      <c r="G139" s="33" t="n"/>
      <c r="H139" s="32">
        <f>IF(AND(ISNUMBER(F139),ISNUMBER(G139)),G139-F139,"")</f>
        <v/>
      </c>
      <c r="I139" s="16">
        <f>IF(COUNTBLANK(G139)=1,"Não executado",IF(ISNUMBER(F139)&lt;&gt;ISNUMBER(G139),"Tipo incompatível",IF(IF(E139="&lt;&gt;",G139&lt;&gt;F139,G139=F139),IF(OR(J139="",K139="",NOT(ISNUMBER(L139)),L139&lt;=0),"Evidência pendente","Compatível"),"Divergente")))</f>
        <v/>
      </c>
      <c r="J139" s="12" t="str"/>
      <c r="K139" s="12" t="str"/>
      <c r="L139" s="28" t="n"/>
      <c r="M139" s="16" t="str"/>
      <c r="N139" s="16" t="str"/>
      <c r="O139" s="16" t="str"/>
      <c r="P139" s="16" t="str"/>
      <c r="Q139" s="16" t="str"/>
    </row>
    <row r="140" ht="112" customHeight="1">
      <c r="A140" s="20" t="inlineStr">
        <is>
          <t>CT12</t>
        </is>
      </c>
      <c r="B140" s="20" t="inlineStr">
        <is>
          <t>entity_cost_cents</t>
        </is>
      </c>
      <c r="C140" s="20" t="inlineStr">
        <is>
          <t>§9, §11, I01, I02, I03, I22, D01</t>
        </is>
      </c>
      <c r="D140" s="20" t="inlineStr">
        <is>
          <t>centavos BRL</t>
        </is>
      </c>
      <c r="E140" s="20" t="inlineStr">
        <is>
          <t>=</t>
        </is>
      </c>
      <c r="F140" s="29" t="n">
        <v>1000000</v>
      </c>
      <c r="G140" s="30" t="n"/>
      <c r="H140" s="29">
        <f>IF(AND(ISNUMBER(F140),ISNUMBER(G140)),G140-F140,"")</f>
        <v/>
      </c>
      <c r="I140" s="20">
        <f>IF(COUNTBLANK(G140)=1,"Não executado",IF(ISNUMBER(F140)&lt;&gt;ISNUMBER(G140),"Tipo incompatível",IF(IF(E140="&lt;&gt;",G140&lt;&gt;F140,G140=F140),IF(OR(J140="",K140="",NOT(ISNUMBER(L140)),L140&lt;=0),"Evidência pendente","Compatível"),"Divergente")))</f>
        <v/>
      </c>
      <c r="J140" s="23" t="str"/>
      <c r="K140" s="23" t="str"/>
      <c r="L140" s="31" t="n"/>
      <c r="M140" s="20" t="inlineStr">
        <is>
          <t>Título sem obra preservado no total da entidade</t>
        </is>
      </c>
      <c r="N140" s="20" t="inlineStr">
        <is>
          <t>{"known_obra_A_title_and_cost_cents": 600000, "unassigned_title_and_cost_cents": 400000, "payment_of_unassigned_title_cents": 200000}</t>
        </is>
      </c>
      <c r="O140" s="20" t="inlineStr">
        <is>
          <t>Importar dois títulos e seus fatos econômicos, apenas um com obra identificada.
Pagar e conciliar 2.000,00 do título sem obra.</t>
        </is>
      </c>
      <c r="P140" s="20" t="inlineStr">
        <is>
          <t>Custo da entidade = 6.000,00 + 4.000,00 = 10.000,00. Contas abertas = 6.000,00 + (4.000,00 − 2.000,00) = 8.000,00.
Apropriação sobre valores originais apropriáveis = 6.000,00÷10.000,00 = 60%. Não usar o denominador de saldos abertos nessa métrica.</t>
        </is>
      </c>
      <c r="Q140" s="20" t="inlineStr">
        <is>
          <t>D01: sem obra identificada permanece pendente, sem padrão Flow. Entidade e fato econômico dos dois títulos estão comprovados. Universo desta fixture é completo.
O título e o pagamento sem obra continuam visíveis na entidade. Obra não identificada não desaparece nem vira Flow.</t>
        </is>
      </c>
    </row>
    <row r="141" ht="42" customHeight="1">
      <c r="A141" s="16" t="inlineStr">
        <is>
          <t>CT12</t>
        </is>
      </c>
      <c r="B141" s="16" t="inlineStr">
        <is>
          <t>obra_A_cost_cents</t>
        </is>
      </c>
      <c r="C141" s="16" t="inlineStr">
        <is>
          <t>§9, §11, I01, I02, I03, I22, D01</t>
        </is>
      </c>
      <c r="D141" s="16" t="inlineStr">
        <is>
          <t>centavos BRL</t>
        </is>
      </c>
      <c r="E141" s="16" t="inlineStr">
        <is>
          <t>=</t>
        </is>
      </c>
      <c r="F141" s="32" t="n">
        <v>600000</v>
      </c>
      <c r="G141" s="33" t="n"/>
      <c r="H141" s="32">
        <f>IF(AND(ISNUMBER(F141),ISNUMBER(G141)),G141-F141,"")</f>
        <v/>
      </c>
      <c r="I141" s="16">
        <f>IF(COUNTBLANK(G141)=1,"Não executado",IF(ISNUMBER(F141)&lt;&gt;ISNUMBER(G141),"Tipo incompatível",IF(IF(E141="&lt;&gt;",G141&lt;&gt;F141,G141=F141),IF(OR(J141="",K141="",NOT(ISNUMBER(L141)),L141&lt;=0),"Evidência pendente","Compatível"),"Divergente")))</f>
        <v/>
      </c>
      <c r="J141" s="12" t="str"/>
      <c r="K141" s="12" t="str"/>
      <c r="L141" s="28" t="n"/>
      <c r="M141" s="16" t="str"/>
      <c r="N141" s="16" t="str"/>
      <c r="O141" s="16" t="str"/>
      <c r="P141" s="16" t="str"/>
      <c r="Q141" s="16" t="str"/>
    </row>
    <row r="142" ht="42" customHeight="1">
      <c r="A142" s="16" t="inlineStr">
        <is>
          <t>CT12</t>
        </is>
      </c>
      <c r="B142" s="16" t="inlineStr">
        <is>
          <t>unclassified_cost_cents</t>
        </is>
      </c>
      <c r="C142" s="16" t="inlineStr">
        <is>
          <t>§9, §11, I01, I02, I03, I22, D01</t>
        </is>
      </c>
      <c r="D142" s="16" t="inlineStr">
        <is>
          <t>centavos BRL</t>
        </is>
      </c>
      <c r="E142" s="16" t="inlineStr">
        <is>
          <t>=</t>
        </is>
      </c>
      <c r="F142" s="32" t="n">
        <v>400000</v>
      </c>
      <c r="G142" s="33" t="n"/>
      <c r="H142" s="32">
        <f>IF(AND(ISNUMBER(F142),ISNUMBER(G142)),G142-F142,"")</f>
        <v/>
      </c>
      <c r="I142" s="16">
        <f>IF(COUNTBLANK(G142)=1,"Não executado",IF(ISNUMBER(F142)&lt;&gt;ISNUMBER(G142),"Tipo incompatível",IF(IF(E142="&lt;&gt;",G142&lt;&gt;F142,G142=F142),IF(OR(J142="",K142="",NOT(ISNUMBER(L142)),L142&lt;=0),"Evidência pendente","Compatível"),"Divergente")))</f>
        <v/>
      </c>
      <c r="J142" s="12" t="str"/>
      <c r="K142" s="12" t="str"/>
      <c r="L142" s="28" t="n"/>
      <c r="M142" s="16" t="str"/>
      <c r="N142" s="16" t="str"/>
      <c r="O142" s="16" t="str"/>
      <c r="P142" s="16" t="str"/>
      <c r="Q142" s="16" t="str"/>
    </row>
    <row r="143" ht="42" customHeight="1">
      <c r="A143" s="16" t="inlineStr">
        <is>
          <t>CT12</t>
        </is>
      </c>
      <c r="B143" s="16" t="inlineStr">
        <is>
          <t>entity_open_payables_cents</t>
        </is>
      </c>
      <c r="C143" s="16" t="inlineStr">
        <is>
          <t>§9, §11, I01, I02, I03, I22, D01</t>
        </is>
      </c>
      <c r="D143" s="16" t="inlineStr">
        <is>
          <t>centavos BRL</t>
        </is>
      </c>
      <c r="E143" s="16" t="inlineStr">
        <is>
          <t>=</t>
        </is>
      </c>
      <c r="F143" s="32" t="n">
        <v>800000</v>
      </c>
      <c r="G143" s="33" t="n"/>
      <c r="H143" s="32">
        <f>IF(AND(ISNUMBER(F143),ISNUMBER(G143)),G143-F143,"")</f>
        <v/>
      </c>
      <c r="I143" s="16">
        <f>IF(COUNTBLANK(G143)=1,"Não executado",IF(ISNUMBER(F143)&lt;&gt;ISNUMBER(G143),"Tipo incompatível",IF(IF(E143="&lt;&gt;",G143&lt;&gt;F143,G143=F143),IF(OR(J143="",K143="",NOT(ISNUMBER(L143)),L143&lt;=0),"Evidência pendente","Compatível"),"Divergente")))</f>
        <v/>
      </c>
      <c r="J143" s="12" t="str"/>
      <c r="K143" s="12" t="str"/>
      <c r="L143" s="28" t="n"/>
      <c r="M143" s="16" t="str"/>
      <c r="N143" s="16" t="str"/>
      <c r="O143" s="16" t="str"/>
      <c r="P143" s="16" t="str"/>
      <c r="Q143" s="16" t="str"/>
    </row>
    <row r="144" ht="42" customHeight="1">
      <c r="A144" s="16" t="inlineStr">
        <is>
          <t>CT12</t>
        </is>
      </c>
      <c r="B144" s="16" t="inlineStr">
        <is>
          <t>obra_A_open_payables_cents</t>
        </is>
      </c>
      <c r="C144" s="16" t="inlineStr">
        <is>
          <t>§9, §11, I01, I02, I03, I22, D01</t>
        </is>
      </c>
      <c r="D144" s="16" t="inlineStr">
        <is>
          <t>centavos BRL</t>
        </is>
      </c>
      <c r="E144" s="16" t="inlineStr">
        <is>
          <t>=</t>
        </is>
      </c>
      <c r="F144" s="32" t="n">
        <v>600000</v>
      </c>
      <c r="G144" s="33" t="n"/>
      <c r="H144" s="32">
        <f>IF(AND(ISNUMBER(F144),ISNUMBER(G144)),G144-F144,"")</f>
        <v/>
      </c>
      <c r="I144" s="16">
        <f>IF(COUNTBLANK(G144)=1,"Não executado",IF(ISNUMBER(F144)&lt;&gt;ISNUMBER(G144),"Tipo incompatível",IF(IF(E144="&lt;&gt;",G144&lt;&gt;F144,G144=F144),IF(OR(J144="",K144="",NOT(ISNUMBER(L144)),L144&lt;=0),"Evidência pendente","Compatível"),"Divergente")))</f>
        <v/>
      </c>
      <c r="J144" s="12" t="str"/>
      <c r="K144" s="12" t="str"/>
      <c r="L144" s="28" t="n"/>
      <c r="M144" s="16" t="str"/>
      <c r="N144" s="16" t="str"/>
      <c r="O144" s="16" t="str"/>
      <c r="P144" s="16" t="str"/>
      <c r="Q144" s="16" t="str"/>
    </row>
    <row r="145" ht="42" customHeight="1">
      <c r="A145" s="16" t="inlineStr">
        <is>
          <t>CT12</t>
        </is>
      </c>
      <c r="B145" s="16" t="inlineStr">
        <is>
          <t>unclassified_open_payables_cents</t>
        </is>
      </c>
      <c r="C145" s="16" t="inlineStr">
        <is>
          <t>§9, §11, I01, I02, I03, I22, D01</t>
        </is>
      </c>
      <c r="D145" s="16" t="inlineStr">
        <is>
          <t>centavos BRL</t>
        </is>
      </c>
      <c r="E145" s="16" t="inlineStr">
        <is>
          <t>=</t>
        </is>
      </c>
      <c r="F145" s="32" t="n">
        <v>200000</v>
      </c>
      <c r="G145" s="33" t="n"/>
      <c r="H145" s="32">
        <f>IF(AND(ISNUMBER(F145),ISNUMBER(G145)),G145-F145,"")</f>
        <v/>
      </c>
      <c r="I145" s="16">
        <f>IF(COUNTBLANK(G145)=1,"Não executado",IF(ISNUMBER(F145)&lt;&gt;ISNUMBER(G145),"Tipo incompatível",IF(IF(E145="&lt;&gt;",G145&lt;&gt;F145,G145=F145),IF(OR(J145="",K145="",NOT(ISNUMBER(L145)),L145&lt;=0),"Evidência pendente","Compatível"),"Divergente")))</f>
        <v/>
      </c>
      <c r="J145" s="12" t="str"/>
      <c r="K145" s="12" t="str"/>
      <c r="L145" s="28" t="n"/>
      <c r="M145" s="16" t="str"/>
      <c r="N145" s="16" t="str"/>
      <c r="O145" s="16" t="str"/>
      <c r="P145" s="16" t="str"/>
      <c r="Q145" s="16" t="str"/>
    </row>
    <row r="146" ht="42" customHeight="1">
      <c r="A146" s="16" t="inlineStr">
        <is>
          <t>CT12</t>
        </is>
      </c>
      <c r="B146" s="16" t="inlineStr">
        <is>
          <t>entity_disbursed_cents</t>
        </is>
      </c>
      <c r="C146" s="16" t="inlineStr">
        <is>
          <t>§9, §11, I01, I02, I03, I22, D01</t>
        </is>
      </c>
      <c r="D146" s="16" t="inlineStr">
        <is>
          <t>centavos BRL</t>
        </is>
      </c>
      <c r="E146" s="16" t="inlineStr">
        <is>
          <t>=</t>
        </is>
      </c>
      <c r="F146" s="32" t="n">
        <v>200000</v>
      </c>
      <c r="G146" s="33" t="n"/>
      <c r="H146" s="32">
        <f>IF(AND(ISNUMBER(F146),ISNUMBER(G146)),G146-F146,"")</f>
        <v/>
      </c>
      <c r="I146" s="16">
        <f>IF(COUNTBLANK(G146)=1,"Não executado",IF(ISNUMBER(F146)&lt;&gt;ISNUMBER(G146),"Tipo incompatível",IF(IF(E146="&lt;&gt;",G146&lt;&gt;F146,G146=F146),IF(OR(J146="",K146="",NOT(ISNUMBER(L146)),L146&lt;=0),"Evidência pendente","Compatível"),"Divergente")))</f>
        <v/>
      </c>
      <c r="J146" s="12" t="str"/>
      <c r="K146" s="12" t="str"/>
      <c r="L146" s="28" t="n"/>
      <c r="M146" s="16" t="str"/>
      <c r="N146" s="16" t="str"/>
      <c r="O146" s="16" t="str"/>
      <c r="P146" s="16" t="str"/>
      <c r="Q146" s="16" t="str"/>
    </row>
    <row r="147" ht="42" customHeight="1">
      <c r="A147" s="16" t="inlineStr">
        <is>
          <t>CT12</t>
        </is>
      </c>
      <c r="B147" s="16" t="inlineStr">
        <is>
          <t>unclassified_disbursed_cents</t>
        </is>
      </c>
      <c r="C147" s="16" t="inlineStr">
        <is>
          <t>§9, §11, I01, I02, I03, I22, D01</t>
        </is>
      </c>
      <c r="D147" s="16" t="inlineStr">
        <is>
          <t>centavos BRL</t>
        </is>
      </c>
      <c r="E147" s="16" t="inlineStr">
        <is>
          <t>=</t>
        </is>
      </c>
      <c r="F147" s="32" t="n">
        <v>200000</v>
      </c>
      <c r="G147" s="33" t="n"/>
      <c r="H147" s="32">
        <f>IF(AND(ISNUMBER(F147),ISNUMBER(G147)),G147-F147,"")</f>
        <v/>
      </c>
      <c r="I147" s="16">
        <f>IF(COUNTBLANK(G147)=1,"Não executado",IF(ISNUMBER(F147)&lt;&gt;ISNUMBER(G147),"Tipo incompatível",IF(IF(E147="&lt;&gt;",G147&lt;&gt;F147,G147=F147),IF(OR(J147="",K147="",NOT(ISNUMBER(L147)),L147&lt;=0),"Evidência pendente","Compatível"),"Divergente")))</f>
        <v/>
      </c>
      <c r="J147" s="12" t="str"/>
      <c r="K147" s="12" t="str"/>
      <c r="L147" s="28" t="n"/>
      <c r="M147" s="16" t="str"/>
      <c r="N147" s="16" t="str"/>
      <c r="O147" s="16" t="str"/>
      <c r="P147" s="16" t="str"/>
      <c r="Q147" s="16" t="str"/>
    </row>
    <row r="148" ht="42" customHeight="1">
      <c r="A148" s="16" t="inlineStr">
        <is>
          <t>CT12</t>
        </is>
      </c>
      <c r="B148" s="16" t="inlineStr">
        <is>
          <t>automatic_Flow_allocation_cents</t>
        </is>
      </c>
      <c r="C148" s="16" t="inlineStr">
        <is>
          <t>§9, §11, I01, I02, I03, I22, D01</t>
        </is>
      </c>
      <c r="D148" s="16" t="inlineStr">
        <is>
          <t>centavos BRL</t>
        </is>
      </c>
      <c r="E148" s="16" t="inlineStr">
        <is>
          <t>=</t>
        </is>
      </c>
      <c r="F148" s="32" t="n">
        <v>0</v>
      </c>
      <c r="G148" s="33" t="n"/>
      <c r="H148" s="32">
        <f>IF(AND(ISNUMBER(F148),ISNUMBER(G148)),G148-F148,"")</f>
        <v/>
      </c>
      <c r="I148" s="16">
        <f>IF(COUNTBLANK(G148)=1,"Não executado",IF(ISNUMBER(F148)&lt;&gt;ISNUMBER(G148),"Tipo incompatível",IF(IF(E148="&lt;&gt;",G148&lt;&gt;F148,G148=F148),IF(OR(J148="",K148="",NOT(ISNUMBER(L148)),L148&lt;=0),"Evidência pendente","Compatível"),"Divergente")))</f>
        <v/>
      </c>
      <c r="J148" s="12" t="str"/>
      <c r="K148" s="12" t="str"/>
      <c r="L148" s="28" t="n"/>
      <c r="M148" s="16" t="str"/>
      <c r="N148" s="16" t="str"/>
      <c r="O148" s="16" t="str"/>
      <c r="P148" s="16" t="str"/>
      <c r="Q148" s="16" t="str"/>
    </row>
    <row r="149" ht="42" customHeight="1">
      <c r="A149" s="16" t="inlineStr">
        <is>
          <t>CT12</t>
        </is>
      </c>
      <c r="B149" s="16" t="inlineStr">
        <is>
          <t>appropriation_on_original_amounts_numerator_cents</t>
        </is>
      </c>
      <c r="C149" s="16" t="inlineStr">
        <is>
          <t>§9, §11, I01, I02, I03, I22, D01</t>
        </is>
      </c>
      <c r="D149" s="16" t="inlineStr">
        <is>
          <t>centavos BRL</t>
        </is>
      </c>
      <c r="E149" s="16" t="inlineStr">
        <is>
          <t>=</t>
        </is>
      </c>
      <c r="F149" s="32" t="n">
        <v>600000</v>
      </c>
      <c r="G149" s="33" t="n"/>
      <c r="H149" s="32">
        <f>IF(AND(ISNUMBER(F149),ISNUMBER(G149)),G149-F149,"")</f>
        <v/>
      </c>
      <c r="I149" s="16">
        <f>IF(COUNTBLANK(G149)=1,"Não executado",IF(ISNUMBER(F149)&lt;&gt;ISNUMBER(G149),"Tipo incompatível",IF(IF(E149="&lt;&gt;",G149&lt;&gt;F149,G149=F149),IF(OR(J149="",K149="",NOT(ISNUMBER(L149)),L149&lt;=0),"Evidência pendente","Compatível"),"Divergente")))</f>
        <v/>
      </c>
      <c r="J149" s="12" t="str"/>
      <c r="K149" s="12" t="str"/>
      <c r="L149" s="28" t="n"/>
      <c r="M149" s="16" t="str"/>
      <c r="N149" s="16" t="str"/>
      <c r="O149" s="16" t="str"/>
      <c r="P149" s="16" t="str"/>
      <c r="Q149" s="16" t="str"/>
    </row>
    <row r="150" ht="42" customHeight="1">
      <c r="A150" s="16" t="inlineStr">
        <is>
          <t>CT12</t>
        </is>
      </c>
      <c r="B150" s="16" t="inlineStr">
        <is>
          <t>appropriation_on_original_amounts_denominator_cents</t>
        </is>
      </c>
      <c r="C150" s="16" t="inlineStr">
        <is>
          <t>§9, §11, I01, I02, I03, I22, D01</t>
        </is>
      </c>
      <c r="D150" s="16" t="inlineStr">
        <is>
          <t>centavos BRL</t>
        </is>
      </c>
      <c r="E150" s="16" t="inlineStr">
        <is>
          <t>=</t>
        </is>
      </c>
      <c r="F150" s="32" t="n">
        <v>1000000</v>
      </c>
      <c r="G150" s="33" t="n"/>
      <c r="H150" s="32">
        <f>IF(AND(ISNUMBER(F150),ISNUMBER(G150)),G150-F150,"")</f>
        <v/>
      </c>
      <c r="I150" s="16">
        <f>IF(COUNTBLANK(G150)=1,"Não executado",IF(ISNUMBER(F150)&lt;&gt;ISNUMBER(G150),"Tipo incompatível",IF(IF(E150="&lt;&gt;",G150&lt;&gt;F150,G150=F150),IF(OR(J150="",K150="",NOT(ISNUMBER(L150)),L150&lt;=0),"Evidência pendente","Compatível"),"Divergente")))</f>
        <v/>
      </c>
      <c r="J150" s="12" t="str"/>
      <c r="K150" s="12" t="str"/>
      <c r="L150" s="28" t="n"/>
      <c r="M150" s="16" t="str"/>
      <c r="N150" s="16" t="str"/>
      <c r="O150" s="16" t="str"/>
      <c r="P150" s="16" t="str"/>
      <c r="Q150" s="16" t="str"/>
    </row>
    <row r="151" ht="42" customHeight="1">
      <c r="A151" s="16" t="inlineStr">
        <is>
          <t>CT12</t>
        </is>
      </c>
      <c r="B151" s="16" t="inlineStr">
        <is>
          <t>appropriation_on_original_amounts_percent</t>
        </is>
      </c>
      <c r="C151" s="16" t="inlineStr">
        <is>
          <t>§9, §11, I01, I02, I03, I22, D01</t>
        </is>
      </c>
      <c r="D151" s="16" t="inlineStr">
        <is>
          <t>% de 0 a 100</t>
        </is>
      </c>
      <c r="E151" s="16" t="inlineStr">
        <is>
          <t>=</t>
        </is>
      </c>
      <c r="F151" s="34" t="n">
        <v>60</v>
      </c>
      <c r="G151" s="35" t="n"/>
      <c r="H151" s="34">
        <f>IF(AND(ISNUMBER(F151),ISNUMBER(G151)),G151-F151,"")</f>
        <v/>
      </c>
      <c r="I151" s="16">
        <f>IF(COUNTBLANK(G151)=1,"Não executado",IF(ISNUMBER(F151)&lt;&gt;ISNUMBER(G151),"Tipo incompatível",IF(IF(E151="&lt;&gt;",G151&lt;&gt;F151,G151=F151),IF(OR(J151="",K151="",NOT(ISNUMBER(L151)),L151&lt;=0),"Evidência pendente","Compatível"),"Divergente")))</f>
        <v/>
      </c>
      <c r="J151" s="12" t="str"/>
      <c r="K151" s="12" t="str"/>
      <c r="L151" s="28" t="n"/>
      <c r="M151" s="16" t="str"/>
      <c r="N151" s="16" t="str"/>
      <c r="O151" s="16" t="str"/>
      <c r="P151" s="16" t="str"/>
      <c r="Q151" s="16" t="str"/>
    </row>
    <row r="152" ht="42" customHeight="1">
      <c r="A152" s="16" t="inlineStr">
        <is>
          <t>CT12</t>
        </is>
      </c>
      <c r="B152" s="16" t="inlineStr">
        <is>
          <t>obra_cost_complete</t>
        </is>
      </c>
      <c r="C152" s="16" t="inlineStr">
        <is>
          <t>§9, §11, I01, I02, I03, I22, D01</t>
        </is>
      </c>
      <c r="D152" s="16" t="inlineStr">
        <is>
          <t>booleano</t>
        </is>
      </c>
      <c r="E152" s="16" t="inlineStr">
        <is>
          <t>=</t>
        </is>
      </c>
      <c r="F152" s="32" t="b">
        <v>0</v>
      </c>
      <c r="G152" s="33" t="n"/>
      <c r="H152" s="32">
        <f>IF(AND(ISNUMBER(F152),ISNUMBER(G152)),G152-F152,"")</f>
        <v/>
      </c>
      <c r="I152" s="16">
        <f>IF(COUNTBLANK(G152)=1,"Não executado",IF(ISNUMBER(F152)&lt;&gt;ISNUMBER(G152),"Tipo incompatível",IF(IF(E152="&lt;&gt;",G152&lt;&gt;F152,G152=F152),IF(OR(J152="",K152="",NOT(ISNUMBER(L152)),L152&lt;=0),"Evidência pendente","Compatível"),"Divergente")))</f>
        <v/>
      </c>
      <c r="J152" s="12" t="str"/>
      <c r="K152" s="12" t="str"/>
      <c r="L152" s="28" t="n"/>
      <c r="M152" s="16" t="str"/>
      <c r="N152" s="16" t="str"/>
      <c r="O152" s="16" t="str"/>
      <c r="P152" s="16" t="str"/>
      <c r="Q152" s="16" t="str"/>
    </row>
    <row r="153" ht="112" customHeight="1">
      <c r="A153" s="20" t="inlineStr">
        <is>
          <t>CT13</t>
        </is>
      </c>
      <c r="B153" s="20" t="inlineStr">
        <is>
          <t>cohort_due_principal_cents</t>
        </is>
      </c>
      <c r="C153" s="20" t="inlineStr">
        <is>
          <t>§8.5, I16, I17, I19</t>
        </is>
      </c>
      <c r="D153" s="20" t="inlineStr">
        <is>
          <t>centavos BRL</t>
        </is>
      </c>
      <c r="E153" s="20" t="inlineStr">
        <is>
          <t>=</t>
        </is>
      </c>
      <c r="F153" s="29" t="n">
        <v>2000000</v>
      </c>
      <c r="G153" s="30" t="n"/>
      <c r="H153" s="29">
        <f>IF(AND(ISNUMBER(F153),ISNUMBER(G153)),G153-F153,"")</f>
        <v/>
      </c>
      <c r="I153" s="20">
        <f>IF(COUNTBLANK(G153)=1,"Não executado",IF(ISNUMBER(F153)&lt;&gt;ISNUMBER(G153),"Tipo incompatível",IF(IF(E153="&lt;&gt;",G153&lt;&gt;F153,G153=F153),IF(OR(J153="",K153="",NOT(ISNUMBER(L153)),L153&lt;=0),"Evidência pendente","Compatível"),"Divergente")))</f>
        <v/>
      </c>
      <c r="J153" s="23" t="str"/>
      <c r="K153" s="23" t="str"/>
      <c r="L153" s="31" t="n"/>
      <c r="M153" s="20" t="inlineStr">
        <is>
          <t>Recebimento atrasado parcial e inadimplência da coorte</t>
        </is>
      </c>
      <c r="N153" s="20" t="inlineStr">
        <is>
          <t>{"cutoff": "2026-10-21", "cohort": [{"id": "AR1", "principal_cents": 1000000, "due": "2026-10-10", "received_principal_cents": 400000, "received_date": "2026-10-18"}, {"id": "AR2", "principal_cents": 1000000, "due": "2026-10-15", "received_principal_cents": 1000000, "received_date": "2026-10-15"}], "future_outside_cohort_cents": 8000000, "AR1_interest_still_due_cents": 12000, "AR1_interest_due": "2026-10-20", "future_outside_cohort_id": "AR3", "future_outside_cohort_due": "2026-11-20"}</t>
        </is>
      </c>
      <c r="O153" s="20" t="inlineStr">
        <is>
          <t>Constituir os recebíveis e registrar os dois recebimentos comprovados.
Consultar carteira e inadimplência no corte de 21/10.</t>
        </is>
      </c>
      <c r="P153" s="20" t="inlineStr">
        <is>
          <t>Principal vencido = 10.000,00 − 4.000,00 = 6.000,00. Inadimplência = 6.000,00÷20.000,00 = 30%.
Recebíveis abertos = 6.000,00 + 120,00 + 80.000,00 = 86.120,00. A carteira futura de 80.000,00 não dilui o denominador da coorte.</t>
        </is>
      </c>
      <c r="Q153" s="20" t="inlineStr">
        <is>
          <t>D09: coorte com vencimento de 01 a 20/10/2026, sem carência neste exemplo. Encargo de 120,00 é constituído documentalmente, não inferido por taxa.
Recebimento tardio preserva vencimento original e data efetiva do banco. Juros não entram no numerador de principal da taxa.</t>
        </is>
      </c>
    </row>
    <row r="154" ht="42" customHeight="1">
      <c r="A154" s="16" t="inlineStr">
        <is>
          <t>CT13</t>
        </is>
      </c>
      <c r="B154" s="16" t="inlineStr">
        <is>
          <t>cohort_overdue_principal_cents</t>
        </is>
      </c>
      <c r="C154" s="16" t="inlineStr">
        <is>
          <t>§8.5, I16, I17, I19</t>
        </is>
      </c>
      <c r="D154" s="16" t="inlineStr">
        <is>
          <t>centavos BRL</t>
        </is>
      </c>
      <c r="E154" s="16" t="inlineStr">
        <is>
          <t>=</t>
        </is>
      </c>
      <c r="F154" s="32" t="n">
        <v>600000</v>
      </c>
      <c r="G154" s="33" t="n"/>
      <c r="H154" s="32">
        <f>IF(AND(ISNUMBER(F154),ISNUMBER(G154)),G154-F154,"")</f>
        <v/>
      </c>
      <c r="I154" s="16">
        <f>IF(COUNTBLANK(G154)=1,"Não executado",IF(ISNUMBER(F154)&lt;&gt;ISNUMBER(G154),"Tipo incompatível",IF(IF(E154="&lt;&gt;",G154&lt;&gt;F154,G154=F154),IF(OR(J154="",K154="",NOT(ISNUMBER(L154)),L154&lt;=0),"Evidência pendente","Compatível"),"Divergente")))</f>
        <v/>
      </c>
      <c r="J154" s="12" t="str"/>
      <c r="K154" s="12" t="str"/>
      <c r="L154" s="28" t="n"/>
      <c r="M154" s="16" t="str"/>
      <c r="N154" s="16" t="str"/>
      <c r="O154" s="16" t="str"/>
      <c r="P154" s="16" t="str"/>
      <c r="Q154" s="16" t="str"/>
    </row>
    <row r="155" ht="42" customHeight="1">
      <c r="A155" s="16" t="inlineStr">
        <is>
          <t>CT13</t>
        </is>
      </c>
      <c r="B155" s="16" t="inlineStr">
        <is>
          <t>overdue_total_with_interest_cents</t>
        </is>
      </c>
      <c r="C155" s="16" t="inlineStr">
        <is>
          <t>§8.5, I16, I17, I19</t>
        </is>
      </c>
      <c r="D155" s="16" t="inlineStr">
        <is>
          <t>centavos BRL</t>
        </is>
      </c>
      <c r="E155" s="16" t="inlineStr">
        <is>
          <t>=</t>
        </is>
      </c>
      <c r="F155" s="32" t="n">
        <v>612000</v>
      </c>
      <c r="G155" s="33" t="n"/>
      <c r="H155" s="32">
        <f>IF(AND(ISNUMBER(F155),ISNUMBER(G155)),G155-F155,"")</f>
        <v/>
      </c>
      <c r="I155" s="16">
        <f>IF(COUNTBLANK(G155)=1,"Não executado",IF(ISNUMBER(F155)&lt;&gt;ISNUMBER(G155),"Tipo incompatível",IF(IF(E155="&lt;&gt;",G155&lt;&gt;F155,G155=F155),IF(OR(J155="",K155="",NOT(ISNUMBER(L155)),L155&lt;=0),"Evidência pendente","Compatível"),"Divergente")))</f>
        <v/>
      </c>
      <c r="J155" s="12" t="str"/>
      <c r="K155" s="12" t="str"/>
      <c r="L155" s="28" t="n"/>
      <c r="M155" s="16" t="str"/>
      <c r="N155" s="16" t="str"/>
      <c r="O155" s="16" t="str"/>
      <c r="P155" s="16" t="str"/>
      <c r="Q155" s="16" t="str"/>
    </row>
    <row r="156" ht="42" customHeight="1">
      <c r="A156" s="16" t="inlineStr">
        <is>
          <t>CT13</t>
        </is>
      </c>
      <c r="B156" s="16" t="inlineStr">
        <is>
          <t>I16_total_open_cents</t>
        </is>
      </c>
      <c r="C156" s="16" t="inlineStr">
        <is>
          <t>§8.5, I16, I17, I19</t>
        </is>
      </c>
      <c r="D156" s="16" t="inlineStr">
        <is>
          <t>centavos BRL</t>
        </is>
      </c>
      <c r="E156" s="16" t="inlineStr">
        <is>
          <t>=</t>
        </is>
      </c>
      <c r="F156" s="32" t="n">
        <v>8612000</v>
      </c>
      <c r="G156" s="33" t="n"/>
      <c r="H156" s="32">
        <f>IF(AND(ISNUMBER(F156),ISNUMBER(G156)),G156-F156,"")</f>
        <v/>
      </c>
      <c r="I156" s="16">
        <f>IF(COUNTBLANK(G156)=1,"Não executado",IF(ISNUMBER(F156)&lt;&gt;ISNUMBER(G156),"Tipo incompatível",IF(IF(E156="&lt;&gt;",G156&lt;&gt;F156,G156=F156),IF(OR(J156="",K156="",NOT(ISNUMBER(L156)),L156&lt;=0),"Evidência pendente","Compatível"),"Divergente")))</f>
        <v/>
      </c>
      <c r="J156" s="12" t="str"/>
      <c r="K156" s="12" t="str"/>
      <c r="L156" s="28" t="n"/>
      <c r="M156" s="16" t="str"/>
      <c r="N156" s="16" t="str"/>
      <c r="O156" s="16" t="str"/>
      <c r="P156" s="16" t="str"/>
      <c r="Q156" s="16" t="str"/>
    </row>
    <row r="157" ht="42" customHeight="1">
      <c r="A157" s="16" t="inlineStr">
        <is>
          <t>CT13</t>
        </is>
      </c>
      <c r="B157" s="16" t="inlineStr">
        <is>
          <t>I17_received_cents</t>
        </is>
      </c>
      <c r="C157" s="16" t="inlineStr">
        <is>
          <t>§8.5, I16, I17, I19</t>
        </is>
      </c>
      <c r="D157" s="16" t="inlineStr">
        <is>
          <t>centavos BRL</t>
        </is>
      </c>
      <c r="E157" s="16" t="inlineStr">
        <is>
          <t>=</t>
        </is>
      </c>
      <c r="F157" s="32" t="n">
        <v>1400000</v>
      </c>
      <c r="G157" s="33" t="n"/>
      <c r="H157" s="32">
        <f>IF(AND(ISNUMBER(F157),ISNUMBER(G157)),G157-F157,"")</f>
        <v/>
      </c>
      <c r="I157" s="16">
        <f>IF(COUNTBLANK(G157)=1,"Não executado",IF(ISNUMBER(F157)&lt;&gt;ISNUMBER(G157),"Tipo incompatível",IF(IF(E157="&lt;&gt;",G157&lt;&gt;F157,G157=F157),IF(OR(J157="",K157="",NOT(ISNUMBER(L157)),L157&lt;=0),"Evidência pendente","Compatível"),"Divergente")))</f>
        <v/>
      </c>
      <c r="J157" s="12" t="str"/>
      <c r="K157" s="12" t="str"/>
      <c r="L157" s="28" t="n"/>
      <c r="M157" s="16" t="str"/>
      <c r="N157" s="16" t="str"/>
      <c r="O157" s="16" t="str"/>
      <c r="P157" s="16" t="str"/>
      <c r="Q157" s="16" t="str"/>
    </row>
    <row r="158" ht="42" customHeight="1">
      <c r="A158" s="16" t="inlineStr">
        <is>
          <t>CT13</t>
        </is>
      </c>
      <c r="B158" s="16" t="inlineStr">
        <is>
          <t>I19_cohort_principal_delinquency_percent</t>
        </is>
      </c>
      <c r="C158" s="16" t="inlineStr">
        <is>
          <t>§8.5, I16, I17, I19</t>
        </is>
      </c>
      <c r="D158" s="16" t="inlineStr">
        <is>
          <t>% de 0 a 100</t>
        </is>
      </c>
      <c r="E158" s="16" t="inlineStr">
        <is>
          <t>=</t>
        </is>
      </c>
      <c r="F158" s="34" t="n">
        <v>30</v>
      </c>
      <c r="G158" s="35" t="n"/>
      <c r="H158" s="34">
        <f>IF(AND(ISNUMBER(F158),ISNUMBER(G158)),G158-F158,"")</f>
        <v/>
      </c>
      <c r="I158" s="16">
        <f>IF(COUNTBLANK(G158)=1,"Não executado",IF(ISNUMBER(F158)&lt;&gt;ISNUMBER(G158),"Tipo incompatível",IF(IF(E158="&lt;&gt;",G158&lt;&gt;F158,G158=F158),IF(OR(J158="",K158="",NOT(ISNUMBER(L158)),L158&lt;=0),"Evidência pendente","Compatível"),"Divergente")))</f>
        <v/>
      </c>
      <c r="J158" s="12" t="str"/>
      <c r="K158" s="12" t="str"/>
      <c r="L158" s="28" t="n"/>
      <c r="M158" s="16" t="str"/>
      <c r="N158" s="16" t="str"/>
      <c r="O158" s="16" t="str"/>
      <c r="P158" s="16" t="str"/>
      <c r="Q158" s="16" t="str"/>
    </row>
    <row r="159" ht="112" customHeight="1">
      <c r="A159" s="20" t="inlineStr">
        <is>
          <t>CT14</t>
        </is>
      </c>
      <c r="B159" s="20" t="inlineStr">
        <is>
          <t>fee_fixture.receivable_settled_cents</t>
        </is>
      </c>
      <c r="C159" s="20" t="inlineStr">
        <is>
          <t>§8.5, §12.4, I16, I17</t>
        </is>
      </c>
      <c r="D159" s="20" t="inlineStr">
        <is>
          <t>centavos BRL</t>
        </is>
      </c>
      <c r="E159" s="20" t="inlineStr">
        <is>
          <t>=</t>
        </is>
      </c>
      <c r="F159" s="29" t="n">
        <v>1000000</v>
      </c>
      <c r="G159" s="30" t="n"/>
      <c r="H159" s="29">
        <f>IF(AND(ISNUMBER(F159),ISNUMBER(G159)),G159-F159,"")</f>
        <v/>
      </c>
      <c r="I159" s="20">
        <f>IF(COUNTBLANK(G159)=1,"Não executado",IF(ISNUMBER(F159)&lt;&gt;ISNUMBER(G159),"Tipo incompatível",IF(IF(E159="&lt;&gt;",G159&lt;&gt;F159,G159=F159),IF(OR(J159="",K159="",NOT(ISNUMBER(L159)),L159&lt;=0),"Evidência pendente","Compatível"),"Divergente")))</f>
        <v/>
      </c>
      <c r="J159" s="23" t="str"/>
      <c r="K159" s="23" t="str"/>
      <c r="L159" s="31" t="n"/>
      <c r="M159" s="20" t="inlineStr">
        <is>
          <t>Recebimento líquido com tarifa e permuta sem caixa fictício</t>
        </is>
      </c>
      <c r="N159" s="20" t="inlineStr">
        <is>
          <t>{"fee_fixture": {"receivable_cents": 1000000, "bank_credit_cents": 980000, "fee_withheld_cents": 20000}, "barter_fixture": {"receivable_cents": 10000000, "cash_cents": 3000000, "accepted_asset_cents": 7000000}}</t>
        </is>
      </c>
      <c r="O159" s="20" t="inlineStr">
        <is>
          <t>Liquidar a cobrança bruta com banco líquido e tarifa identificada.
Em fixture distinta, liquidar parcela de 100.000,00 com dinheiro e bem.</t>
        </is>
      </c>
      <c r="P159" s="20" t="inlineStr">
        <is>
          <t>9.800,00 de banco + 200,00 de tarifa = 10.000,00 liquidados.
30.000,00 de caixa + 70.000,00 de bem = 100.000,00 liquidados, com apenas 30.000,00 de ingresso bancário.</t>
        </is>
      </c>
      <c r="Q159" s="20" t="inlineStr">
        <is>
          <t>D09: documentos comprovam cobrança bruta, tarifa e liquidação. Para a segunda fixture, bem recebido por permuta aceito por 70.000,00. Fixtures independentes.
A tarifa não vira recebível em atraso. Permuta não vira entrada de dinheiro. Reconhecimento de receita permanece em política própria.</t>
        </is>
      </c>
    </row>
    <row r="160" ht="42" customHeight="1">
      <c r="A160" s="16" t="inlineStr">
        <is>
          <t>CT14</t>
        </is>
      </c>
      <c r="B160" s="16" t="inlineStr">
        <is>
          <t>fee_fixture.open_cents</t>
        </is>
      </c>
      <c r="C160" s="16" t="inlineStr">
        <is>
          <t>§8.5, §12.4, I16, I17</t>
        </is>
      </c>
      <c r="D160" s="16" t="inlineStr">
        <is>
          <t>centavos BRL</t>
        </is>
      </c>
      <c r="E160" s="16" t="inlineStr">
        <is>
          <t>=</t>
        </is>
      </c>
      <c r="F160" s="32" t="n">
        <v>0</v>
      </c>
      <c r="G160" s="33" t="n"/>
      <c r="H160" s="32">
        <f>IF(AND(ISNUMBER(F160),ISNUMBER(G160)),G160-F160,"")</f>
        <v/>
      </c>
      <c r="I160" s="16">
        <f>IF(COUNTBLANK(G160)=1,"Não executado",IF(ISNUMBER(F160)&lt;&gt;ISNUMBER(G160),"Tipo incompatível",IF(IF(E160="&lt;&gt;",G160&lt;&gt;F160,G160=F160),IF(OR(J160="",K160="",NOT(ISNUMBER(L160)),L160&lt;=0),"Evidência pendente","Compatível"),"Divergente")))</f>
        <v/>
      </c>
      <c r="J160" s="12" t="str"/>
      <c r="K160" s="12" t="str"/>
      <c r="L160" s="28" t="n"/>
      <c r="M160" s="16" t="str"/>
      <c r="N160" s="16" t="str"/>
      <c r="O160" s="16" t="str"/>
      <c r="P160" s="16" t="str"/>
      <c r="Q160" s="16" t="str"/>
    </row>
    <row r="161" ht="42" customHeight="1">
      <c r="A161" s="16" t="inlineStr">
        <is>
          <t>CT14</t>
        </is>
      </c>
      <c r="B161" s="16" t="inlineStr">
        <is>
          <t>fee_fixture.I17_bank_receipt_cents</t>
        </is>
      </c>
      <c r="C161" s="16" t="inlineStr">
        <is>
          <t>§8.5, §12.4, I16, I17</t>
        </is>
      </c>
      <c r="D161" s="16" t="inlineStr">
        <is>
          <t>centavos BRL</t>
        </is>
      </c>
      <c r="E161" s="16" t="inlineStr">
        <is>
          <t>=</t>
        </is>
      </c>
      <c r="F161" s="32" t="n">
        <v>980000</v>
      </c>
      <c r="G161" s="33" t="n"/>
      <c r="H161" s="32">
        <f>IF(AND(ISNUMBER(F161),ISNUMBER(G161)),G161-F161,"")</f>
        <v/>
      </c>
      <c r="I161" s="16">
        <f>IF(COUNTBLANK(G161)=1,"Não executado",IF(ISNUMBER(F161)&lt;&gt;ISNUMBER(G161),"Tipo incompatível",IF(IF(E161="&lt;&gt;",G161&lt;&gt;F161,G161=F161),IF(OR(J161="",K161="",NOT(ISNUMBER(L161)),L161&lt;=0),"Evidência pendente","Compatível"),"Divergente")))</f>
        <v/>
      </c>
      <c r="J161" s="12" t="str"/>
      <c r="K161" s="12" t="str"/>
      <c r="L161" s="28" t="n"/>
      <c r="M161" s="16" t="str"/>
      <c r="N161" s="16" t="str"/>
      <c r="O161" s="16" t="str"/>
      <c r="P161" s="16" t="str"/>
      <c r="Q161" s="16" t="str"/>
    </row>
    <row r="162" ht="42" customHeight="1">
      <c r="A162" s="16" t="inlineStr">
        <is>
          <t>CT14</t>
        </is>
      </c>
      <c r="B162" s="16" t="inlineStr">
        <is>
          <t>fee_fixture.identified_fee_cents</t>
        </is>
      </c>
      <c r="C162" s="16" t="inlineStr">
        <is>
          <t>§8.5, §12.4, I16, I17</t>
        </is>
      </c>
      <c r="D162" s="16" t="inlineStr">
        <is>
          <t>centavos BRL</t>
        </is>
      </c>
      <c r="E162" s="16" t="inlineStr">
        <is>
          <t>=</t>
        </is>
      </c>
      <c r="F162" s="32" t="n">
        <v>20000</v>
      </c>
      <c r="G162" s="33" t="n"/>
      <c r="H162" s="32">
        <f>IF(AND(ISNUMBER(F162),ISNUMBER(G162)),G162-F162,"")</f>
        <v/>
      </c>
      <c r="I162" s="16">
        <f>IF(COUNTBLANK(G162)=1,"Não executado",IF(ISNUMBER(F162)&lt;&gt;ISNUMBER(G162),"Tipo incompatível",IF(IF(E162="&lt;&gt;",G162&lt;&gt;F162,G162=F162),IF(OR(J162="",K162="",NOT(ISNUMBER(L162)),L162&lt;=0),"Evidência pendente","Compatível"),"Divergente")))</f>
        <v/>
      </c>
      <c r="J162" s="12" t="str"/>
      <c r="K162" s="12" t="str"/>
      <c r="L162" s="28" t="n"/>
      <c r="M162" s="16" t="str"/>
      <c r="N162" s="16" t="str"/>
      <c r="O162" s="16" t="str"/>
      <c r="P162" s="16" t="str"/>
      <c r="Q162" s="16" t="str"/>
    </row>
    <row r="163" ht="42" customHeight="1">
      <c r="A163" s="16" t="inlineStr">
        <is>
          <t>CT14</t>
        </is>
      </c>
      <c r="B163" s="16" t="inlineStr">
        <is>
          <t>fee_fixture.artificial_overdue_cents</t>
        </is>
      </c>
      <c r="C163" s="16" t="inlineStr">
        <is>
          <t>§8.5, §12.4, I16, I17</t>
        </is>
      </c>
      <c r="D163" s="16" t="inlineStr">
        <is>
          <t>centavos BRL</t>
        </is>
      </c>
      <c r="E163" s="16" t="inlineStr">
        <is>
          <t>=</t>
        </is>
      </c>
      <c r="F163" s="32" t="n">
        <v>0</v>
      </c>
      <c r="G163" s="33" t="n"/>
      <c r="H163" s="32">
        <f>IF(AND(ISNUMBER(F163),ISNUMBER(G163)),G163-F163,"")</f>
        <v/>
      </c>
      <c r="I163" s="16">
        <f>IF(COUNTBLANK(G163)=1,"Não executado",IF(ISNUMBER(F163)&lt;&gt;ISNUMBER(G163),"Tipo incompatível",IF(IF(E163="&lt;&gt;",G163&lt;&gt;F163,G163=F163),IF(OR(J163="",K163="",NOT(ISNUMBER(L163)),L163&lt;=0),"Evidência pendente","Compatível"),"Divergente")))</f>
        <v/>
      </c>
      <c r="J163" s="12" t="str"/>
      <c r="K163" s="12" t="str"/>
      <c r="L163" s="28" t="n"/>
      <c r="M163" s="16" t="str"/>
      <c r="N163" s="16" t="str"/>
      <c r="O163" s="16" t="str"/>
      <c r="P163" s="16" t="str"/>
      <c r="Q163" s="16" t="str"/>
    </row>
    <row r="164" ht="42" customHeight="1">
      <c r="A164" s="16" t="inlineStr">
        <is>
          <t>CT14</t>
        </is>
      </c>
      <c r="B164" s="16" t="inlineStr">
        <is>
          <t>barter_fixture.receivable_settled_cents</t>
        </is>
      </c>
      <c r="C164" s="16" t="inlineStr">
        <is>
          <t>§8.5, §12.4, I16, I17</t>
        </is>
      </c>
      <c r="D164" s="16" t="inlineStr">
        <is>
          <t>centavos BRL</t>
        </is>
      </c>
      <c r="E164" s="16" t="inlineStr">
        <is>
          <t>=</t>
        </is>
      </c>
      <c r="F164" s="32" t="n">
        <v>10000000</v>
      </c>
      <c r="G164" s="33" t="n"/>
      <c r="H164" s="32">
        <f>IF(AND(ISNUMBER(F164),ISNUMBER(G164)),G164-F164,"")</f>
        <v/>
      </c>
      <c r="I164" s="16">
        <f>IF(COUNTBLANK(G164)=1,"Não executado",IF(ISNUMBER(F164)&lt;&gt;ISNUMBER(G164),"Tipo incompatível",IF(IF(E164="&lt;&gt;",G164&lt;&gt;F164,G164=F164),IF(OR(J164="",K164="",NOT(ISNUMBER(L164)),L164&lt;=0),"Evidência pendente","Compatível"),"Divergente")))</f>
        <v/>
      </c>
      <c r="J164" s="12" t="str"/>
      <c r="K164" s="12" t="str"/>
      <c r="L164" s="28" t="n"/>
      <c r="M164" s="16" t="str"/>
      <c r="N164" s="16" t="str"/>
      <c r="O164" s="16" t="str"/>
      <c r="P164" s="16" t="str"/>
      <c r="Q164" s="16" t="str"/>
    </row>
    <row r="165" ht="42" customHeight="1">
      <c r="A165" s="16" t="inlineStr">
        <is>
          <t>CT14</t>
        </is>
      </c>
      <c r="B165" s="16" t="inlineStr">
        <is>
          <t>barter_fixture.open_cents</t>
        </is>
      </c>
      <c r="C165" s="16" t="inlineStr">
        <is>
          <t>§8.5, §12.4, I16, I17</t>
        </is>
      </c>
      <c r="D165" s="16" t="inlineStr">
        <is>
          <t>centavos BRL</t>
        </is>
      </c>
      <c r="E165" s="16" t="inlineStr">
        <is>
          <t>=</t>
        </is>
      </c>
      <c r="F165" s="32" t="n">
        <v>0</v>
      </c>
      <c r="G165" s="33" t="n"/>
      <c r="H165" s="32">
        <f>IF(AND(ISNUMBER(F165),ISNUMBER(G165)),G165-F165,"")</f>
        <v/>
      </c>
      <c r="I165" s="16">
        <f>IF(COUNTBLANK(G165)=1,"Não executado",IF(ISNUMBER(F165)&lt;&gt;ISNUMBER(G165),"Tipo incompatível",IF(IF(E165="&lt;&gt;",G165&lt;&gt;F165,G165=F165),IF(OR(J165="",K165="",NOT(ISNUMBER(L165)),L165&lt;=0),"Evidência pendente","Compatível"),"Divergente")))</f>
        <v/>
      </c>
      <c r="J165" s="12" t="str"/>
      <c r="K165" s="12" t="str"/>
      <c r="L165" s="28" t="n"/>
      <c r="M165" s="16" t="str"/>
      <c r="N165" s="16" t="str"/>
      <c r="O165" s="16" t="str"/>
      <c r="P165" s="16" t="str"/>
      <c r="Q165" s="16" t="str"/>
    </row>
    <row r="166" ht="42" customHeight="1">
      <c r="A166" s="16" t="inlineStr">
        <is>
          <t>CT14</t>
        </is>
      </c>
      <c r="B166" s="16" t="inlineStr">
        <is>
          <t>barter_fixture.I17_cash_received_cents</t>
        </is>
      </c>
      <c r="C166" s="16" t="inlineStr">
        <is>
          <t>§8.5, §12.4, I16, I17</t>
        </is>
      </c>
      <c r="D166" s="16" t="inlineStr">
        <is>
          <t>centavos BRL</t>
        </is>
      </c>
      <c r="E166" s="16" t="inlineStr">
        <is>
          <t>=</t>
        </is>
      </c>
      <c r="F166" s="32" t="n">
        <v>3000000</v>
      </c>
      <c r="G166" s="33" t="n"/>
      <c r="H166" s="32">
        <f>IF(AND(ISNUMBER(F166),ISNUMBER(G166)),G166-F166,"")</f>
        <v/>
      </c>
      <c r="I166" s="16">
        <f>IF(COUNTBLANK(G166)=1,"Não executado",IF(ISNUMBER(F166)&lt;&gt;ISNUMBER(G166),"Tipo incompatível",IF(IF(E166="&lt;&gt;",G166&lt;&gt;F166,G166=F166),IF(OR(J166="",K166="",NOT(ISNUMBER(L166)),L166&lt;=0),"Evidência pendente","Compatível"),"Divergente")))</f>
        <v/>
      </c>
      <c r="J166" s="12" t="str"/>
      <c r="K166" s="12" t="str"/>
      <c r="L166" s="28" t="n"/>
      <c r="M166" s="16" t="str"/>
      <c r="N166" s="16" t="str"/>
      <c r="O166" s="16" t="str"/>
      <c r="P166" s="16" t="str"/>
      <c r="Q166" s="16" t="str"/>
    </row>
    <row r="167" ht="42" customHeight="1">
      <c r="A167" s="16" t="inlineStr">
        <is>
          <t>CT14</t>
        </is>
      </c>
      <c r="B167" s="16" t="inlineStr">
        <is>
          <t>barter_fixture.noncash_settlement_cents</t>
        </is>
      </c>
      <c r="C167" s="16" t="inlineStr">
        <is>
          <t>§8.5, §12.4, I16, I17</t>
        </is>
      </c>
      <c r="D167" s="16" t="inlineStr">
        <is>
          <t>centavos BRL</t>
        </is>
      </c>
      <c r="E167" s="16" t="inlineStr">
        <is>
          <t>=</t>
        </is>
      </c>
      <c r="F167" s="32" t="n">
        <v>7000000</v>
      </c>
      <c r="G167" s="33" t="n"/>
      <c r="H167" s="32">
        <f>IF(AND(ISNUMBER(F167),ISNUMBER(G167)),G167-F167,"")</f>
        <v/>
      </c>
      <c r="I167" s="16">
        <f>IF(COUNTBLANK(G167)=1,"Não executado",IF(ISNUMBER(F167)&lt;&gt;ISNUMBER(G167),"Tipo incompatível",IF(IF(E167="&lt;&gt;",G167&lt;&gt;F167,G167=F167),IF(OR(J167="",K167="",NOT(ISNUMBER(L167)),L167&lt;=0),"Evidência pendente","Compatível"),"Divergente")))</f>
        <v/>
      </c>
      <c r="J167" s="12" t="str"/>
      <c r="K167" s="12" t="str"/>
      <c r="L167" s="28" t="n"/>
      <c r="M167" s="16" t="str"/>
      <c r="N167" s="16" t="str"/>
      <c r="O167" s="16" t="str"/>
      <c r="P167" s="16" t="str"/>
      <c r="Q167" s="16" t="str"/>
    </row>
    <row r="168" ht="112" customHeight="1">
      <c r="A168" s="20" t="inlineStr">
        <is>
          <t>CT15</t>
        </is>
      </c>
      <c r="B168" s="20" t="inlineStr">
        <is>
          <t>end_2026_10_20.A_bank_cents</t>
        </is>
      </c>
      <c r="C168" s="20" t="inlineStr">
        <is>
          <t>§8.6, §12.7, I02, I17, I20</t>
        </is>
      </c>
      <c r="D168" s="20" t="inlineStr">
        <is>
          <t>centavos BRL</t>
        </is>
      </c>
      <c r="E168" s="20" t="inlineStr">
        <is>
          <t>=</t>
        </is>
      </c>
      <c r="F168" s="29" t="n">
        <v>2998500</v>
      </c>
      <c r="G168" s="30" t="n"/>
      <c r="H168" s="29">
        <f>IF(AND(ISNUMBER(F168),ISNUMBER(G168)),G168-F168,"")</f>
        <v/>
      </c>
      <c r="I168" s="20">
        <f>IF(COUNTBLANK(G168)=1,"Não executado",IF(ISNUMBER(F168)&lt;&gt;ISNUMBER(G168),"Tipo incompatível",IF(IF(E168="&lt;&gt;",G168&lt;&gt;F168,G168=F168),IF(OR(J168="",K168="",NOT(ISNUMBER(L168)),L168&lt;=0),"Evidência pendente","Compatível"),"Divergente")))</f>
        <v/>
      </c>
      <c r="J168" s="23" t="str"/>
      <c r="K168" s="23" t="str"/>
      <c r="L168" s="31" t="n"/>
      <c r="M168" s="20" t="inlineStr">
        <is>
          <t>Transferência própria com tarifa e ponta em trânsito</t>
        </is>
      </c>
      <c r="N168" s="20" t="inlineStr">
        <is>
          <t>{"opening_A_cents": 5000000, "opening_B_cents": 1000000, "transfer_principal_cents": 2000000, "fee_cents": 1500, "debit_date": "2026-10-20", "credit_date": "2026-10-21"}</t>
        </is>
      </c>
      <c r="O168" s="20" t="inlineStr">
        <is>
          <t>Debitar 20.015,00 em A no dia 20, sendo transferência 20.000,00 e tarifa 15,00.
Creditar 20.000,00 em B no dia 21 e vincular as duas pontas.</t>
        </is>
      </c>
      <c r="P168" s="20" t="inlineStr">
        <is>
          <t>Dia 20: A=50.000,00−20.000,00−15,00=29.985,00; banco consolidado=29.985,00+10.000,00=39.985,00, mais 20.000,00 em trânsito identificado.
Dia 21: 29.985,00+30.000,00=59.985,00. Redução externa definitiva: 60.000,00−59.985,00=15,00.</t>
        </is>
      </c>
      <c r="Q168" s="20" t="inlineStr">
        <is>
          <t>D02/D06/D13: contas do mesmo titular e moeda, incluídas no mesmo perímetro. Trânsito identificado não disponível para novo pagamento.
Não inventar crédito no dia 20. Excluir principal dos fluxos externos consolidados e manter tarifa.</t>
        </is>
      </c>
    </row>
    <row r="169" ht="42" customHeight="1">
      <c r="A169" s="16" t="inlineStr">
        <is>
          <t>CT15</t>
        </is>
      </c>
      <c r="B169" s="16" t="inlineStr">
        <is>
          <t>end_2026_10_20.B_bank_cents</t>
        </is>
      </c>
      <c r="C169" s="16" t="inlineStr">
        <is>
          <t>§8.6, §12.7, I02, I17, I20</t>
        </is>
      </c>
      <c r="D169" s="16" t="inlineStr">
        <is>
          <t>centavos BRL</t>
        </is>
      </c>
      <c r="E169" s="16" t="inlineStr">
        <is>
          <t>=</t>
        </is>
      </c>
      <c r="F169" s="32" t="n">
        <v>1000000</v>
      </c>
      <c r="G169" s="33" t="n"/>
      <c r="H169" s="32">
        <f>IF(AND(ISNUMBER(F169),ISNUMBER(G169)),G169-F169,"")</f>
        <v/>
      </c>
      <c r="I169" s="16">
        <f>IF(COUNTBLANK(G169)=1,"Não executado",IF(ISNUMBER(F169)&lt;&gt;ISNUMBER(G169),"Tipo incompatível",IF(IF(E169="&lt;&gt;",G169&lt;&gt;F169,G169=F169),IF(OR(J169="",K169="",NOT(ISNUMBER(L169)),L169&lt;=0),"Evidência pendente","Compatível"),"Divergente")))</f>
        <v/>
      </c>
      <c r="J169" s="12" t="str"/>
      <c r="K169" s="12" t="str"/>
      <c r="L169" s="28" t="n"/>
      <c r="M169" s="16" t="str"/>
      <c r="N169" s="16" t="str"/>
      <c r="O169" s="16" t="str"/>
      <c r="P169" s="16" t="str"/>
      <c r="Q169" s="16" t="str"/>
    </row>
    <row r="170" ht="42" customHeight="1">
      <c r="A170" s="16" t="inlineStr">
        <is>
          <t>CT15</t>
        </is>
      </c>
      <c r="B170" s="16" t="inlineStr">
        <is>
          <t>end_2026_10_20.sum_bank_balances_cents</t>
        </is>
      </c>
      <c r="C170" s="16" t="inlineStr">
        <is>
          <t>§8.6, §12.7, I02, I17, I20</t>
        </is>
      </c>
      <c r="D170" s="16" t="inlineStr">
        <is>
          <t>centavos BRL</t>
        </is>
      </c>
      <c r="E170" s="16" t="inlineStr">
        <is>
          <t>=</t>
        </is>
      </c>
      <c r="F170" s="32" t="n">
        <v>3998500</v>
      </c>
      <c r="G170" s="33" t="n"/>
      <c r="H170" s="32">
        <f>IF(AND(ISNUMBER(F170),ISNUMBER(G170)),G170-F170,"")</f>
        <v/>
      </c>
      <c r="I170" s="16">
        <f>IF(COUNTBLANK(G170)=1,"Não executado",IF(ISNUMBER(F170)&lt;&gt;ISNUMBER(G170),"Tipo incompatível",IF(IF(E170="&lt;&gt;",G170&lt;&gt;F170,G170=F170),IF(OR(J170="",K170="",NOT(ISNUMBER(L170)),L170&lt;=0),"Evidência pendente","Compatível"),"Divergente")))</f>
        <v/>
      </c>
      <c r="J170" s="12" t="str"/>
      <c r="K170" s="12" t="str"/>
      <c r="L170" s="28" t="n"/>
      <c r="M170" s="16" t="str"/>
      <c r="N170" s="16" t="str"/>
      <c r="O170" s="16" t="str"/>
      <c r="P170" s="16" t="str"/>
      <c r="Q170" s="16" t="str"/>
    </row>
    <row r="171" ht="42" customHeight="1">
      <c r="A171" s="16" t="inlineStr">
        <is>
          <t>CT15</t>
        </is>
      </c>
      <c r="B171" s="16" t="inlineStr">
        <is>
          <t>end_2026_10_20.transfer_in_transit_cents</t>
        </is>
      </c>
      <c r="C171" s="16" t="inlineStr">
        <is>
          <t>§8.6, §12.7, I02, I17, I20</t>
        </is>
      </c>
      <c r="D171" s="16" t="inlineStr">
        <is>
          <t>centavos BRL</t>
        </is>
      </c>
      <c r="E171" s="16" t="inlineStr">
        <is>
          <t>=</t>
        </is>
      </c>
      <c r="F171" s="32" t="n">
        <v>2000000</v>
      </c>
      <c r="G171" s="33" t="n"/>
      <c r="H171" s="32">
        <f>IF(AND(ISNUMBER(F171),ISNUMBER(G171)),G171-F171,"")</f>
        <v/>
      </c>
      <c r="I171" s="16">
        <f>IF(COUNTBLANK(G171)=1,"Não executado",IF(ISNUMBER(F171)&lt;&gt;ISNUMBER(G171),"Tipo incompatível",IF(IF(E171="&lt;&gt;",G171&lt;&gt;F171,G171=F171),IF(OR(J171="",K171="",NOT(ISNUMBER(L171)),L171&lt;=0),"Evidência pendente","Compatível"),"Divergente")))</f>
        <v/>
      </c>
      <c r="J171" s="12" t="str"/>
      <c r="K171" s="12" t="str"/>
      <c r="L171" s="28" t="n"/>
      <c r="M171" s="16" t="str"/>
      <c r="N171" s="16" t="str"/>
      <c r="O171" s="16" t="str"/>
      <c r="P171" s="16" t="str"/>
      <c r="Q171" s="16" t="str"/>
    </row>
    <row r="172" ht="42" customHeight="1">
      <c r="A172" s="16" t="inlineStr">
        <is>
          <t>CT15</t>
        </is>
      </c>
      <c r="B172" s="16" t="inlineStr">
        <is>
          <t>end_2026_10_20.available_bank_cash_cents</t>
        </is>
      </c>
      <c r="C172" s="16" t="inlineStr">
        <is>
          <t>§8.6, §12.7, I02, I17, I20</t>
        </is>
      </c>
      <c r="D172" s="16" t="inlineStr">
        <is>
          <t>centavos BRL</t>
        </is>
      </c>
      <c r="E172" s="16" t="inlineStr">
        <is>
          <t>=</t>
        </is>
      </c>
      <c r="F172" s="32" t="n">
        <v>3998500</v>
      </c>
      <c r="G172" s="33" t="n"/>
      <c r="H172" s="32">
        <f>IF(AND(ISNUMBER(F172),ISNUMBER(G172)),G172-F172,"")</f>
        <v/>
      </c>
      <c r="I172" s="16">
        <f>IF(COUNTBLANK(G172)=1,"Não executado",IF(ISNUMBER(F172)&lt;&gt;ISNUMBER(G172),"Tipo incompatível",IF(IF(E172="&lt;&gt;",G172&lt;&gt;F172,G172=F172),IF(OR(J172="",K172="",NOT(ISNUMBER(L172)),L172&lt;=0),"Evidência pendente","Compatível"),"Divergente")))</f>
        <v/>
      </c>
      <c r="J172" s="12" t="str"/>
      <c r="K172" s="12" t="str"/>
      <c r="L172" s="28" t="n"/>
      <c r="M172" s="16" t="str"/>
      <c r="N172" s="16" t="str"/>
      <c r="O172" s="16" t="str"/>
      <c r="P172" s="16" t="str"/>
      <c r="Q172" s="16" t="str"/>
    </row>
    <row r="173" ht="42" customHeight="1">
      <c r="A173" s="16" t="inlineStr">
        <is>
          <t>CT15</t>
        </is>
      </c>
      <c r="B173" s="16" t="inlineStr">
        <is>
          <t>end_2026_10_20.external_outflow_cents</t>
        </is>
      </c>
      <c r="C173" s="16" t="inlineStr">
        <is>
          <t>§8.6, §12.7, I02, I17, I20</t>
        </is>
      </c>
      <c r="D173" s="16" t="inlineStr">
        <is>
          <t>centavos BRL</t>
        </is>
      </c>
      <c r="E173" s="16" t="inlineStr">
        <is>
          <t>=</t>
        </is>
      </c>
      <c r="F173" s="32" t="n">
        <v>1500</v>
      </c>
      <c r="G173" s="33" t="n"/>
      <c r="H173" s="32">
        <f>IF(AND(ISNUMBER(F173),ISNUMBER(G173)),G173-F173,"")</f>
        <v/>
      </c>
      <c r="I173" s="16">
        <f>IF(COUNTBLANK(G173)=1,"Não executado",IF(ISNUMBER(F173)&lt;&gt;ISNUMBER(G173),"Tipo incompatível",IF(IF(E173="&lt;&gt;",G173&lt;&gt;F173,G173=F173),IF(OR(J173="",K173="",NOT(ISNUMBER(L173)),L173&lt;=0),"Evidência pendente","Compatível"),"Divergente")))</f>
        <v/>
      </c>
      <c r="J173" s="12" t="str"/>
      <c r="K173" s="12" t="str"/>
      <c r="L173" s="28" t="n"/>
      <c r="M173" s="16" t="str"/>
      <c r="N173" s="16" t="str"/>
      <c r="O173" s="16" t="str"/>
      <c r="P173" s="16" t="str"/>
      <c r="Q173" s="16" t="str"/>
    </row>
    <row r="174" ht="42" customHeight="1">
      <c r="A174" s="16" t="inlineStr">
        <is>
          <t>CT15</t>
        </is>
      </c>
      <c r="B174" s="16" t="inlineStr">
        <is>
          <t>end_2026_10_21.A_bank_cents</t>
        </is>
      </c>
      <c r="C174" s="16" t="inlineStr">
        <is>
          <t>§8.6, §12.7, I02, I17, I20</t>
        </is>
      </c>
      <c r="D174" s="16" t="inlineStr">
        <is>
          <t>centavos BRL</t>
        </is>
      </c>
      <c r="E174" s="16" t="inlineStr">
        <is>
          <t>=</t>
        </is>
      </c>
      <c r="F174" s="32" t="n">
        <v>2998500</v>
      </c>
      <c r="G174" s="33" t="n"/>
      <c r="H174" s="32">
        <f>IF(AND(ISNUMBER(F174),ISNUMBER(G174)),G174-F174,"")</f>
        <v/>
      </c>
      <c r="I174" s="16">
        <f>IF(COUNTBLANK(G174)=1,"Não executado",IF(ISNUMBER(F174)&lt;&gt;ISNUMBER(G174),"Tipo incompatível",IF(IF(E174="&lt;&gt;",G174&lt;&gt;F174,G174=F174),IF(OR(J174="",K174="",NOT(ISNUMBER(L174)),L174&lt;=0),"Evidência pendente","Compatível"),"Divergente")))</f>
        <v/>
      </c>
      <c r="J174" s="12" t="str"/>
      <c r="K174" s="12" t="str"/>
      <c r="L174" s="28" t="n"/>
      <c r="M174" s="16" t="str"/>
      <c r="N174" s="16" t="str"/>
      <c r="O174" s="16" t="str"/>
      <c r="P174" s="16" t="str"/>
      <c r="Q174" s="16" t="str"/>
    </row>
    <row r="175" ht="42" customHeight="1">
      <c r="A175" s="16" t="inlineStr">
        <is>
          <t>CT15</t>
        </is>
      </c>
      <c r="B175" s="16" t="inlineStr">
        <is>
          <t>end_2026_10_21.B_bank_cents</t>
        </is>
      </c>
      <c r="C175" s="16" t="inlineStr">
        <is>
          <t>§8.6, §12.7, I02, I17, I20</t>
        </is>
      </c>
      <c r="D175" s="16" t="inlineStr">
        <is>
          <t>centavos BRL</t>
        </is>
      </c>
      <c r="E175" s="16" t="inlineStr">
        <is>
          <t>=</t>
        </is>
      </c>
      <c r="F175" s="32" t="n">
        <v>3000000</v>
      </c>
      <c r="G175" s="33" t="n"/>
      <c r="H175" s="32">
        <f>IF(AND(ISNUMBER(F175),ISNUMBER(G175)),G175-F175,"")</f>
        <v/>
      </c>
      <c r="I175" s="16">
        <f>IF(COUNTBLANK(G175)=1,"Não executado",IF(ISNUMBER(F175)&lt;&gt;ISNUMBER(G175),"Tipo incompatível",IF(IF(E175="&lt;&gt;",G175&lt;&gt;F175,G175=F175),IF(OR(J175="",K175="",NOT(ISNUMBER(L175)),L175&lt;=0),"Evidência pendente","Compatível"),"Divergente")))</f>
        <v/>
      </c>
      <c r="J175" s="12" t="str"/>
      <c r="K175" s="12" t="str"/>
      <c r="L175" s="28" t="n"/>
      <c r="M175" s="16" t="str"/>
      <c r="N175" s="16" t="str"/>
      <c r="O175" s="16" t="str"/>
      <c r="P175" s="16" t="str"/>
      <c r="Q175" s="16" t="str"/>
    </row>
    <row r="176" ht="42" customHeight="1">
      <c r="A176" s="16" t="inlineStr">
        <is>
          <t>CT15</t>
        </is>
      </c>
      <c r="B176" s="16" t="inlineStr">
        <is>
          <t>end_2026_10_21.sum_bank_balances_cents</t>
        </is>
      </c>
      <c r="C176" s="16" t="inlineStr">
        <is>
          <t>§8.6, §12.7, I02, I17, I20</t>
        </is>
      </c>
      <c r="D176" s="16" t="inlineStr">
        <is>
          <t>centavos BRL</t>
        </is>
      </c>
      <c r="E176" s="16" t="inlineStr">
        <is>
          <t>=</t>
        </is>
      </c>
      <c r="F176" s="32" t="n">
        <v>5998500</v>
      </c>
      <c r="G176" s="33" t="n"/>
      <c r="H176" s="32">
        <f>IF(AND(ISNUMBER(F176),ISNUMBER(G176)),G176-F176,"")</f>
        <v/>
      </c>
      <c r="I176" s="16">
        <f>IF(COUNTBLANK(G176)=1,"Não executado",IF(ISNUMBER(F176)&lt;&gt;ISNUMBER(G176),"Tipo incompatível",IF(IF(E176="&lt;&gt;",G176&lt;&gt;F176,G176=F176),IF(OR(J176="",K176="",NOT(ISNUMBER(L176)),L176&lt;=0),"Evidência pendente","Compatível"),"Divergente")))</f>
        <v/>
      </c>
      <c r="J176" s="12" t="str"/>
      <c r="K176" s="12" t="str"/>
      <c r="L176" s="28" t="n"/>
      <c r="M176" s="16" t="str"/>
      <c r="N176" s="16" t="str"/>
      <c r="O176" s="16" t="str"/>
      <c r="P176" s="16" t="str"/>
      <c r="Q176" s="16" t="str"/>
    </row>
    <row r="177" ht="42" customHeight="1">
      <c r="A177" s="16" t="inlineStr">
        <is>
          <t>CT15</t>
        </is>
      </c>
      <c r="B177" s="16" t="inlineStr">
        <is>
          <t>end_2026_10_21.transfer_in_transit_cents</t>
        </is>
      </c>
      <c r="C177" s="16" t="inlineStr">
        <is>
          <t>§8.6, §12.7, I02, I17, I20</t>
        </is>
      </c>
      <c r="D177" s="16" t="inlineStr">
        <is>
          <t>centavos BRL</t>
        </is>
      </c>
      <c r="E177" s="16" t="inlineStr">
        <is>
          <t>=</t>
        </is>
      </c>
      <c r="F177" s="32" t="n">
        <v>0</v>
      </c>
      <c r="G177" s="33" t="n"/>
      <c r="H177" s="32">
        <f>IF(AND(ISNUMBER(F177),ISNUMBER(G177)),G177-F177,"")</f>
        <v/>
      </c>
      <c r="I177" s="16">
        <f>IF(COUNTBLANK(G177)=1,"Não executado",IF(ISNUMBER(F177)&lt;&gt;ISNUMBER(G177),"Tipo incompatível",IF(IF(E177="&lt;&gt;",G177&lt;&gt;F177,G177=F177),IF(OR(J177="",K177="",NOT(ISNUMBER(L177)),L177&lt;=0),"Evidência pendente","Compatível"),"Divergente")))</f>
        <v/>
      </c>
      <c r="J177" s="12" t="str"/>
      <c r="K177" s="12" t="str"/>
      <c r="L177" s="28" t="n"/>
      <c r="M177" s="16" t="str"/>
      <c r="N177" s="16" t="str"/>
      <c r="O177" s="16" t="str"/>
      <c r="P177" s="16" t="str"/>
      <c r="Q177" s="16" t="str"/>
    </row>
    <row r="178" ht="42" customHeight="1">
      <c r="A178" s="16" t="inlineStr">
        <is>
          <t>CT15</t>
        </is>
      </c>
      <c r="B178" s="16" t="inlineStr">
        <is>
          <t>end_2026_10_21.external_outflow_cents</t>
        </is>
      </c>
      <c r="C178" s="16" t="inlineStr">
        <is>
          <t>§8.6, §12.7, I02, I17, I20</t>
        </is>
      </c>
      <c r="D178" s="16" t="inlineStr">
        <is>
          <t>centavos BRL</t>
        </is>
      </c>
      <c r="E178" s="16" t="inlineStr">
        <is>
          <t>=</t>
        </is>
      </c>
      <c r="F178" s="32" t="n">
        <v>1500</v>
      </c>
      <c r="G178" s="33" t="n"/>
      <c r="H178" s="32">
        <f>IF(AND(ISNUMBER(F178),ISNUMBER(G178)),G178-F178,"")</f>
        <v/>
      </c>
      <c r="I178" s="16">
        <f>IF(COUNTBLANK(G178)=1,"Não executado",IF(ISNUMBER(F178)&lt;&gt;ISNUMBER(G178),"Tipo incompatível",IF(IF(E178="&lt;&gt;",G178&lt;&gt;F178,G178=F178),IF(OR(J178="",K178="",NOT(ISNUMBER(L178)),L178&lt;=0),"Evidência pendente","Compatível"),"Divergente")))</f>
        <v/>
      </c>
      <c r="J178" s="12" t="str"/>
      <c r="K178" s="12" t="str"/>
      <c r="L178" s="28" t="n"/>
      <c r="M178" s="16" t="str"/>
      <c r="N178" s="16" t="str"/>
      <c r="O178" s="16" t="str"/>
      <c r="P178" s="16" t="str"/>
      <c r="Q178" s="16" t="str"/>
    </row>
    <row r="179" ht="42" customHeight="1">
      <c r="A179" s="16" t="inlineStr">
        <is>
          <t>CT15</t>
        </is>
      </c>
      <c r="B179" s="16" t="inlineStr">
        <is>
          <t>end_2026_10_21.external_receipt_cents</t>
        </is>
      </c>
      <c r="C179" s="16" t="inlineStr">
        <is>
          <t>§8.6, §12.7, I02, I17, I20</t>
        </is>
      </c>
      <c r="D179" s="16" t="inlineStr">
        <is>
          <t>centavos BRL</t>
        </is>
      </c>
      <c r="E179" s="16" t="inlineStr">
        <is>
          <t>=</t>
        </is>
      </c>
      <c r="F179" s="32" t="n">
        <v>0</v>
      </c>
      <c r="G179" s="33" t="n"/>
      <c r="H179" s="32">
        <f>IF(AND(ISNUMBER(F179),ISNUMBER(G179)),G179-F179,"")</f>
        <v/>
      </c>
      <c r="I179" s="16">
        <f>IF(COUNTBLANK(G179)=1,"Não executado",IF(ISNUMBER(F179)&lt;&gt;ISNUMBER(G179),"Tipo incompatível",IF(IF(E179="&lt;&gt;",G179&lt;&gt;F179,G179=F179),IF(OR(J179="",K179="",NOT(ISNUMBER(L179)),L179&lt;=0),"Evidência pendente","Compatível"),"Divergente")))</f>
        <v/>
      </c>
      <c r="J179" s="12" t="str"/>
      <c r="K179" s="12" t="str"/>
      <c r="L179" s="28" t="n"/>
      <c r="M179" s="16" t="str"/>
      <c r="N179" s="16" t="str"/>
      <c r="O179" s="16" t="str"/>
      <c r="P179" s="16" t="str"/>
      <c r="Q179" s="16" t="str"/>
    </row>
    <row r="180" ht="112" customHeight="1">
      <c r="A180" s="20" t="inlineStr">
        <is>
          <t>CT16</t>
        </is>
      </c>
      <c r="B180" s="20" t="inlineStr">
        <is>
          <t>A.cash_cents</t>
        </is>
      </c>
      <c r="C180" s="20" t="inlineStr">
        <is>
          <t>§4, §8.6, I20, I21, D13</t>
        </is>
      </c>
      <c r="D180" s="20" t="inlineStr">
        <is>
          <t>centavos BRL</t>
        </is>
      </c>
      <c r="E180" s="20" t="inlineStr">
        <is>
          <t>=</t>
        </is>
      </c>
      <c r="F180" s="29" t="n">
        <v>3000000</v>
      </c>
      <c r="G180" s="30" t="n"/>
      <c r="H180" s="29">
        <f>IF(AND(ISNUMBER(F180),ISNUMBER(G180)),G180-F180,"")</f>
        <v/>
      </c>
      <c r="I180" s="20">
        <f>IF(COUNTBLANK(G180)=1,"Não executado",IF(ISNUMBER(F180)&lt;&gt;ISNUMBER(G180),"Tipo incompatível",IF(IF(E180="&lt;&gt;",G180&lt;&gt;F180,G180=F180),IF(OR(J180="",K180="",NOT(ISNUMBER(L180)),L180&lt;=0),"Evidência pendente","Compatível"),"Divergente")))</f>
        <v/>
      </c>
      <c r="J180" s="23" t="str"/>
      <c r="K180" s="23" t="str"/>
      <c r="L180" s="31" t="n"/>
      <c r="M180" s="20" t="inlineStr">
        <is>
          <t>Mútuo entre entidades e eliminação apenas no consolidado autorizado</t>
        </is>
      </c>
      <c r="N180" s="20" t="inlineStr">
        <is>
          <t>{"entity_A_opening_cash_cents": 5000000, "entity_B_opening_cash_cents": 1000000, "loan_transfer_cents": 2000000, "approved_consolidation_scope": ["ENTITY_A", "ENTITY_B"]}</t>
        </is>
      </c>
      <c r="O180" s="20" t="inlineStr">
        <is>
          <t>A transfere 20.000,00 a B como mútuo.
Consultar cada entidade.
Consultar o consolidado explicitamente autorizado contendo ambas.</t>
        </is>
      </c>
      <c r="P180" s="20" t="inlineStr">
        <is>
          <t>A: 50.000,00−20.000,00=30.000,00. B: 10.000,00+20.000,00=30.000,00. Consolidado: 60.000,00.
O ativo e o passivo de 20.000,00 são eliminados só no perímetro com as duas partes.</t>
        </is>
      </c>
      <c r="Q180" s="20" t="inlineStr">
        <is>
          <t>D13: mesma organização de acesso com dois CNPJs e contrato de mútuo; administrador autorizado às duas entidades. Sem tarifa. Não tratar entidades diferentes como duas contas do mesmo titular.
A classificação da DFC do concedente não é decidida pelo teste; a saída é identificada como mútuo e seu ativo correspondente.
Relatórios individuais preservam a operação e sua natureza. Transferência gerencial entre obras não gera movimentação bancária adicional.</t>
        </is>
      </c>
    </row>
    <row r="181" ht="42" customHeight="1">
      <c r="A181" s="16" t="inlineStr">
        <is>
          <t>CT16</t>
        </is>
      </c>
      <c r="B181" s="16" t="inlineStr">
        <is>
          <t>A.loan_receivable_cents</t>
        </is>
      </c>
      <c r="C181" s="16" t="inlineStr">
        <is>
          <t>§4, §8.6, I20, I21, D13</t>
        </is>
      </c>
      <c r="D181" s="16" t="inlineStr">
        <is>
          <t>centavos BRL</t>
        </is>
      </c>
      <c r="E181" s="16" t="inlineStr">
        <is>
          <t>=</t>
        </is>
      </c>
      <c r="F181" s="32" t="n">
        <v>2000000</v>
      </c>
      <c r="G181" s="33" t="n"/>
      <c r="H181" s="32">
        <f>IF(AND(ISNUMBER(F181),ISNUMBER(G181)),G181-F181,"")</f>
        <v/>
      </c>
      <c r="I181" s="16">
        <f>IF(COUNTBLANK(G181)=1,"Não executado",IF(ISNUMBER(F181)&lt;&gt;ISNUMBER(G181),"Tipo incompatível",IF(IF(E181="&lt;&gt;",G181&lt;&gt;F181,G181=F181),IF(OR(J181="",K181="",NOT(ISNUMBER(L181)),L181&lt;=0),"Evidência pendente","Compatível"),"Divergente")))</f>
        <v/>
      </c>
      <c r="J181" s="12" t="str"/>
      <c r="K181" s="12" t="str"/>
      <c r="L181" s="28" t="n"/>
      <c r="M181" s="16" t="str"/>
      <c r="N181" s="16" t="str"/>
      <c r="O181" s="16" t="str"/>
      <c r="P181" s="16" t="str"/>
      <c r="Q181" s="16" t="str"/>
    </row>
    <row r="182" ht="42" customHeight="1">
      <c r="A182" s="16" t="inlineStr">
        <is>
          <t>CT16</t>
        </is>
      </c>
      <c r="B182" s="16" t="inlineStr">
        <is>
          <t>A.loan_disbursement_cents</t>
        </is>
      </c>
      <c r="C182" s="16" t="inlineStr">
        <is>
          <t>§4, §8.6, I20, I21, D13</t>
        </is>
      </c>
      <c r="D182" s="16" t="inlineStr">
        <is>
          <t>centavos BRL</t>
        </is>
      </c>
      <c r="E182" s="16" t="inlineStr">
        <is>
          <t>=</t>
        </is>
      </c>
      <c r="F182" s="32" t="n">
        <v>2000000</v>
      </c>
      <c r="G182" s="33" t="n"/>
      <c r="H182" s="32">
        <f>IF(AND(ISNUMBER(F182),ISNUMBER(G182)),G182-F182,"")</f>
        <v/>
      </c>
      <c r="I182" s="16">
        <f>IF(COUNTBLANK(G182)=1,"Não executado",IF(ISNUMBER(F182)&lt;&gt;ISNUMBER(G182),"Tipo incompatível",IF(IF(E182="&lt;&gt;",G182&lt;&gt;F182,G182=F182),IF(OR(J182="",K182="",NOT(ISNUMBER(L182)),L182&lt;=0),"Evidência pendente","Compatível"),"Divergente")))</f>
        <v/>
      </c>
      <c r="J182" s="12" t="str"/>
      <c r="K182" s="12" t="str"/>
      <c r="L182" s="28" t="n"/>
      <c r="M182" s="16" t="str"/>
      <c r="N182" s="16" t="str"/>
      <c r="O182" s="16" t="str"/>
      <c r="P182" s="16" t="str"/>
      <c r="Q182" s="16" t="str"/>
    </row>
    <row r="183" ht="42" customHeight="1">
      <c r="A183" s="16" t="inlineStr">
        <is>
          <t>CT16</t>
        </is>
      </c>
      <c r="B183" s="16" t="inlineStr">
        <is>
          <t>B.cash_cents</t>
        </is>
      </c>
      <c r="C183" s="16" t="inlineStr">
        <is>
          <t>§4, §8.6, I20, I21, D13</t>
        </is>
      </c>
      <c r="D183" s="16" t="inlineStr">
        <is>
          <t>centavos BRL</t>
        </is>
      </c>
      <c r="E183" s="16" t="inlineStr">
        <is>
          <t>=</t>
        </is>
      </c>
      <c r="F183" s="32" t="n">
        <v>3000000</v>
      </c>
      <c r="G183" s="33" t="n"/>
      <c r="H183" s="32">
        <f>IF(AND(ISNUMBER(F183),ISNUMBER(G183)),G183-F183,"")</f>
        <v/>
      </c>
      <c r="I183" s="16">
        <f>IF(COUNTBLANK(G183)=1,"Não executado",IF(ISNUMBER(F183)&lt;&gt;ISNUMBER(G183),"Tipo incompatível",IF(IF(E183="&lt;&gt;",G183&lt;&gt;F183,G183=F183),IF(OR(J183="",K183="",NOT(ISNUMBER(L183)),L183&lt;=0),"Evidência pendente","Compatível"),"Divergente")))</f>
        <v/>
      </c>
      <c r="J183" s="12" t="str"/>
      <c r="K183" s="12" t="str"/>
      <c r="L183" s="28" t="n"/>
      <c r="M183" s="16" t="str"/>
      <c r="N183" s="16" t="str"/>
      <c r="O183" s="16" t="str"/>
      <c r="P183" s="16" t="str"/>
      <c r="Q183" s="16" t="str"/>
    </row>
    <row r="184" ht="42" customHeight="1">
      <c r="A184" s="16" t="inlineStr">
        <is>
          <t>CT16</t>
        </is>
      </c>
      <c r="B184" s="16" t="inlineStr">
        <is>
          <t>B.loan_liability_cents</t>
        </is>
      </c>
      <c r="C184" s="16" t="inlineStr">
        <is>
          <t>§4, §8.6, I20, I21, D13</t>
        </is>
      </c>
      <c r="D184" s="16" t="inlineStr">
        <is>
          <t>centavos BRL</t>
        </is>
      </c>
      <c r="E184" s="16" t="inlineStr">
        <is>
          <t>=</t>
        </is>
      </c>
      <c r="F184" s="32" t="n">
        <v>2000000</v>
      </c>
      <c r="G184" s="33" t="n"/>
      <c r="H184" s="32">
        <f>IF(AND(ISNUMBER(F184),ISNUMBER(G184)),G184-F184,"")</f>
        <v/>
      </c>
      <c r="I184" s="16">
        <f>IF(COUNTBLANK(G184)=1,"Não executado",IF(ISNUMBER(F184)&lt;&gt;ISNUMBER(G184),"Tipo incompatível",IF(IF(E184="&lt;&gt;",G184&lt;&gt;F184,G184=F184),IF(OR(J184="",K184="",NOT(ISNUMBER(L184)),L184&lt;=0),"Evidência pendente","Compatível"),"Divergente")))</f>
        <v/>
      </c>
      <c r="J184" s="12" t="str"/>
      <c r="K184" s="12" t="str"/>
      <c r="L184" s="28" t="n"/>
      <c r="M184" s="16" t="str"/>
      <c r="N184" s="16" t="str"/>
      <c r="O184" s="16" t="str"/>
      <c r="P184" s="16" t="str"/>
      <c r="Q184" s="16" t="str"/>
    </row>
    <row r="185" ht="42" customHeight="1">
      <c r="A185" s="16" t="inlineStr">
        <is>
          <t>CT16</t>
        </is>
      </c>
      <c r="B185" s="16" t="inlineStr">
        <is>
          <t>B.financing_inflow_cents</t>
        </is>
      </c>
      <c r="C185" s="16" t="inlineStr">
        <is>
          <t>§4, §8.6, I20, I21, D13</t>
        </is>
      </c>
      <c r="D185" s="16" t="inlineStr">
        <is>
          <t>centavos BRL</t>
        </is>
      </c>
      <c r="E185" s="16" t="inlineStr">
        <is>
          <t>=</t>
        </is>
      </c>
      <c r="F185" s="32" t="n">
        <v>2000000</v>
      </c>
      <c r="G185" s="33" t="n"/>
      <c r="H185" s="32">
        <f>IF(AND(ISNUMBER(F185),ISNUMBER(G185)),G185-F185,"")</f>
        <v/>
      </c>
      <c r="I185" s="16">
        <f>IF(COUNTBLANK(G185)=1,"Não executado",IF(ISNUMBER(F185)&lt;&gt;ISNUMBER(G185),"Tipo incompatível",IF(IF(E185="&lt;&gt;",G185&lt;&gt;F185,G185=F185),IF(OR(J185="",K185="",NOT(ISNUMBER(L185)),L185&lt;=0),"Evidência pendente","Compatível"),"Divergente")))</f>
        <v/>
      </c>
      <c r="J185" s="12" t="str"/>
      <c r="K185" s="12" t="str"/>
      <c r="L185" s="28" t="n"/>
      <c r="M185" s="16" t="str"/>
      <c r="N185" s="16" t="str"/>
      <c r="O185" s="16" t="str"/>
      <c r="P185" s="16" t="str"/>
      <c r="Q185" s="16" t="str"/>
    </row>
    <row r="186" ht="42" customHeight="1">
      <c r="A186" s="16" t="inlineStr">
        <is>
          <t>CT16</t>
        </is>
      </c>
      <c r="B186" s="16" t="inlineStr">
        <is>
          <t>consolidated.cash_cents</t>
        </is>
      </c>
      <c r="C186" s="16" t="inlineStr">
        <is>
          <t>§4, §8.6, I20, I21, D13</t>
        </is>
      </c>
      <c r="D186" s="16" t="inlineStr">
        <is>
          <t>centavos BRL</t>
        </is>
      </c>
      <c r="E186" s="16" t="inlineStr">
        <is>
          <t>=</t>
        </is>
      </c>
      <c r="F186" s="32" t="n">
        <v>6000000</v>
      </c>
      <c r="G186" s="33" t="n"/>
      <c r="H186" s="32">
        <f>IF(AND(ISNUMBER(F186),ISNUMBER(G186)),G186-F186,"")</f>
        <v/>
      </c>
      <c r="I186" s="16">
        <f>IF(COUNTBLANK(G186)=1,"Não executado",IF(ISNUMBER(F186)&lt;&gt;ISNUMBER(G186),"Tipo incompatível",IF(IF(E186="&lt;&gt;",G186&lt;&gt;F186,G186=F186),IF(OR(J186="",K186="",NOT(ISNUMBER(L186)),L186&lt;=0),"Evidência pendente","Compatível"),"Divergente")))</f>
        <v/>
      </c>
      <c r="J186" s="12" t="str"/>
      <c r="K186" s="12" t="str"/>
      <c r="L186" s="28" t="n"/>
      <c r="M186" s="16" t="str"/>
      <c r="N186" s="16" t="str"/>
      <c r="O186" s="16" t="str"/>
      <c r="P186" s="16" t="str"/>
      <c r="Q186" s="16" t="str"/>
    </row>
    <row r="187" ht="42" customHeight="1">
      <c r="A187" s="16" t="inlineStr">
        <is>
          <t>CT16</t>
        </is>
      </c>
      <c r="B187" s="16" t="inlineStr">
        <is>
          <t>consolidated.external_flow_from_loan_cents</t>
        </is>
      </c>
      <c r="C187" s="16" t="inlineStr">
        <is>
          <t>§4, §8.6, I20, I21, D13</t>
        </is>
      </c>
      <c r="D187" s="16" t="inlineStr">
        <is>
          <t>centavos BRL</t>
        </is>
      </c>
      <c r="E187" s="16" t="inlineStr">
        <is>
          <t>=</t>
        </is>
      </c>
      <c r="F187" s="32" t="n">
        <v>0</v>
      </c>
      <c r="G187" s="33" t="n"/>
      <c r="H187" s="32">
        <f>IF(AND(ISNUMBER(F187),ISNUMBER(G187)),G187-F187,"")</f>
        <v/>
      </c>
      <c r="I187" s="16">
        <f>IF(COUNTBLANK(G187)=1,"Não executado",IF(ISNUMBER(F187)&lt;&gt;ISNUMBER(G187),"Tipo incompatível",IF(IF(E187="&lt;&gt;",G187&lt;&gt;F187,G187=F187),IF(OR(J187="",K187="",NOT(ISNUMBER(L187)),L187&lt;=0),"Evidência pendente","Compatível"),"Divergente")))</f>
        <v/>
      </c>
      <c r="J187" s="12" t="str"/>
      <c r="K187" s="12" t="str"/>
      <c r="L187" s="28" t="n"/>
      <c r="M187" s="16" t="str"/>
      <c r="N187" s="16" t="str"/>
      <c r="O187" s="16" t="str"/>
      <c r="P187" s="16" t="str"/>
      <c r="Q187" s="16" t="str"/>
    </row>
    <row r="188" ht="42" customHeight="1">
      <c r="A188" s="16" t="inlineStr">
        <is>
          <t>CT16</t>
        </is>
      </c>
      <c r="B188" s="16" t="inlineStr">
        <is>
          <t>consolidated.eliminated_asset_cents</t>
        </is>
      </c>
      <c r="C188" s="16" t="inlineStr">
        <is>
          <t>§4, §8.6, I20, I21, D13</t>
        </is>
      </c>
      <c r="D188" s="16" t="inlineStr">
        <is>
          <t>centavos BRL</t>
        </is>
      </c>
      <c r="E188" s="16" t="inlineStr">
        <is>
          <t>=</t>
        </is>
      </c>
      <c r="F188" s="32" t="n">
        <v>2000000</v>
      </c>
      <c r="G188" s="33" t="n"/>
      <c r="H188" s="32">
        <f>IF(AND(ISNUMBER(F188),ISNUMBER(G188)),G188-F188,"")</f>
        <v/>
      </c>
      <c r="I188" s="16">
        <f>IF(COUNTBLANK(G188)=1,"Não executado",IF(ISNUMBER(F188)&lt;&gt;ISNUMBER(G188),"Tipo incompatível",IF(IF(E188="&lt;&gt;",G188&lt;&gt;F188,G188=F188),IF(OR(J188="",K188="",NOT(ISNUMBER(L188)),L188&lt;=0),"Evidência pendente","Compatível"),"Divergente")))</f>
        <v/>
      </c>
      <c r="J188" s="12" t="str"/>
      <c r="K188" s="12" t="str"/>
      <c r="L188" s="28" t="n"/>
      <c r="M188" s="16" t="str"/>
      <c r="N188" s="16" t="str"/>
      <c r="O188" s="16" t="str"/>
      <c r="P188" s="16" t="str"/>
      <c r="Q188" s="16" t="str"/>
    </row>
    <row r="189" ht="42" customHeight="1">
      <c r="A189" s="16" t="inlineStr">
        <is>
          <t>CT16</t>
        </is>
      </c>
      <c r="B189" s="16" t="inlineStr">
        <is>
          <t>consolidated.eliminated_liability_cents</t>
        </is>
      </c>
      <c r="C189" s="16" t="inlineStr">
        <is>
          <t>§4, §8.6, I20, I21, D13</t>
        </is>
      </c>
      <c r="D189" s="16" t="inlineStr">
        <is>
          <t>centavos BRL</t>
        </is>
      </c>
      <c r="E189" s="16" t="inlineStr">
        <is>
          <t>=</t>
        </is>
      </c>
      <c r="F189" s="32" t="n">
        <v>2000000</v>
      </c>
      <c r="G189" s="33" t="n"/>
      <c r="H189" s="32">
        <f>IF(AND(ISNUMBER(F189),ISNUMBER(G189)),G189-F189,"")</f>
        <v/>
      </c>
      <c r="I189" s="16">
        <f>IF(COUNTBLANK(G189)=1,"Não executado",IF(ISNUMBER(F189)&lt;&gt;ISNUMBER(G189),"Tipo incompatível",IF(IF(E189="&lt;&gt;",G189&lt;&gt;F189,G189=F189),IF(OR(J189="",K189="",NOT(ISNUMBER(L189)),L189&lt;=0),"Evidência pendente","Compatível"),"Divergente")))</f>
        <v/>
      </c>
      <c r="J189" s="12" t="str"/>
      <c r="K189" s="12" t="str"/>
      <c r="L189" s="28" t="n"/>
      <c r="M189" s="16" t="str"/>
      <c r="N189" s="16" t="str"/>
      <c r="O189" s="16" t="str"/>
      <c r="P189" s="16" t="str"/>
      <c r="Q189" s="16" t="str"/>
    </row>
    <row r="190" ht="42" customHeight="1">
      <c r="A190" s="16" t="inlineStr">
        <is>
          <t>CT16</t>
        </is>
      </c>
      <c r="B190" s="16" t="inlineStr">
        <is>
          <t>construction_cost_created_cents</t>
        </is>
      </c>
      <c r="C190" s="16" t="inlineStr">
        <is>
          <t>§4, §8.6, I20, I21, D13</t>
        </is>
      </c>
      <c r="D190" s="16" t="inlineStr">
        <is>
          <t>centavos BRL</t>
        </is>
      </c>
      <c r="E190" s="16" t="inlineStr">
        <is>
          <t>=</t>
        </is>
      </c>
      <c r="F190" s="32" t="n">
        <v>0</v>
      </c>
      <c r="G190" s="33" t="n"/>
      <c r="H190" s="32">
        <f>IF(AND(ISNUMBER(F190),ISNUMBER(G190)),G190-F190,"")</f>
        <v/>
      </c>
      <c r="I190" s="16">
        <f>IF(COUNTBLANK(G190)=1,"Não executado",IF(ISNUMBER(F190)&lt;&gt;ISNUMBER(G190),"Tipo incompatível",IF(IF(E190="&lt;&gt;",G190&lt;&gt;F190,G190=F190),IF(OR(J190="",K190="",NOT(ISNUMBER(L190)),L190&lt;=0),"Evidência pendente","Compatível"),"Divergente")))</f>
        <v/>
      </c>
      <c r="J190" s="12" t="str"/>
      <c r="K190" s="12" t="str"/>
      <c r="L190" s="28" t="n"/>
      <c r="M190" s="16" t="str"/>
      <c r="N190" s="16" t="str"/>
      <c r="O190" s="16" t="str"/>
      <c r="P190" s="16" t="str"/>
      <c r="Q190" s="16" t="str"/>
    </row>
    <row r="191" ht="42" customHeight="1">
      <c r="A191" s="16" t="inlineStr">
        <is>
          <t>CT16</t>
        </is>
      </c>
      <c r="B191" s="16" t="inlineStr">
        <is>
          <t>sales_revenue_created_cents</t>
        </is>
      </c>
      <c r="C191" s="16" t="inlineStr">
        <is>
          <t>§4, §8.6, I20, I21, D13</t>
        </is>
      </c>
      <c r="D191" s="16" t="inlineStr">
        <is>
          <t>centavos BRL</t>
        </is>
      </c>
      <c r="E191" s="16" t="inlineStr">
        <is>
          <t>=</t>
        </is>
      </c>
      <c r="F191" s="32" t="n">
        <v>0</v>
      </c>
      <c r="G191" s="33" t="n"/>
      <c r="H191" s="32">
        <f>IF(AND(ISNUMBER(F191),ISNUMBER(G191)),G191-F191,"")</f>
        <v/>
      </c>
      <c r="I191" s="16">
        <f>IF(COUNTBLANK(G191)=1,"Não executado",IF(ISNUMBER(F191)&lt;&gt;ISNUMBER(G191),"Tipo incompatível",IF(IF(E191="&lt;&gt;",G191&lt;&gt;F191,G191=F191),IF(OR(J191="",K191="",NOT(ISNUMBER(L191)),L191&lt;=0),"Evidência pendente","Compatível"),"Divergente")))</f>
        <v/>
      </c>
      <c r="J191" s="12" t="str"/>
      <c r="K191" s="12" t="str"/>
      <c r="L191" s="28" t="n"/>
      <c r="M191" s="16" t="str"/>
      <c r="N191" s="16" t="str"/>
      <c r="O191" s="16" t="str"/>
      <c r="P191" s="16" t="str"/>
      <c r="Q191" s="16" t="str"/>
    </row>
    <row r="192" ht="198" customHeight="1">
      <c r="A192" s="20" t="inlineStr">
        <is>
          <t>CT17</t>
        </is>
      </c>
      <c r="B192" s="20" t="inlineStr">
        <is>
          <t>Q_before_and_after_cents</t>
        </is>
      </c>
      <c r="C192" s="20" t="inlineStr">
        <is>
          <t>§3, §7.2, §10, I06, I12, I14, I19, I21</t>
        </is>
      </c>
      <c r="D192" s="20" t="inlineStr">
        <is>
          <t>centavos BRL</t>
        </is>
      </c>
      <c r="E192" s="20" t="inlineStr">
        <is>
          <t>=</t>
        </is>
      </c>
      <c r="F192" s="29" t="n">
        <v>12000000</v>
      </c>
      <c r="G192" s="30" t="n"/>
      <c r="H192" s="29">
        <f>IF(AND(ISNUMBER(F192),ISNUMBER(G192)),G192-F192,"")</f>
        <v/>
      </c>
      <c r="I192" s="20">
        <f>IF(COUNTBLANK(G192)=1,"Não executado",IF(ISNUMBER(F192)&lt;&gt;ISNUMBER(G192),"Tipo incompatível",IF(IF(E192="&lt;&gt;",G192&lt;&gt;F192,G192=F192),IF(OR(J192="",K192="",NOT(ISNUMBER(L192)),L192&lt;=0),"Evidência pendente","Compatível"),"Divergente")))</f>
        <v/>
      </c>
      <c r="J192" s="23" t="str"/>
      <c r="K192" s="23" t="str"/>
      <c r="L192" s="31" t="n"/>
      <c r="M192" s="20" t="inlineStr">
        <is>
          <t>Reprogramação de previsão sem reescrever execução ou vencimento</t>
        </is>
      </c>
      <c r="N192" s="20" t="inlineStr">
        <is>
          <t>{"cutoff": "2026-10-21", "incurred_cost_cents": 2000000, "R_cents": 2000000, "R_legal_due": "2026-10-25", "C_cents": 6000000, "P_cents": 4000000, "original_cash_outflow_by_month_cents": {"2026-10": 3000000, "2026-11": 5000000, "2026-12": 4000000}, "reprogrammed_cash_outflow_by_month_cents": {"2026-10": 2000000, "2026-11": 9000000, "2026-12": 1000000}, "opening_available_cash_cents": 10000000, "minimum_cash_cents": 2000000, "receivable_cents": 6000000, "receivable_legal_due": "2026-10-25", "old_expected_receipt": "2026-10-25", "new_expected_receipt": "2026-12-10"}</t>
        </is>
      </c>
      <c r="O192" s="20" t="inlineStr">
        <is>
          <t>Salvar versão original.
Salvar cenário reprogramado com saídas 20.000,00/90.000,00/10.000,00 e recebimento de 60.000,00 em dezembro. A previsão concentra compras futuras em novembro e posterga o recebimento.
Consultar outubro a dezembro e atraso real em 31/10, se nenhum pagamento ou recebimento ocorreu.</t>
        </is>
      </c>
      <c r="P192" s="20" t="inlineStr">
        <is>
          <t>Q=20.000,00+60.000,00+40.000,00=120.000,00. ETC=60.000,00+40.000,00=100.000,00. EAC=20.000,00+100.000,00=120.000,00.
Caixa original: outubro 100.000,00+60.000,00−30.000,00=130.000,00; novembro 130.000,00−50.000,00=80.000,00; dezembro 80.000,00−40.000,00=40.000,00. Novo caixa: outubro 100.000,00−20.000,00=80.000,00; novembro 80.000,00−90.000,00=−10.000,00; dezembro −10.000,00+60.000,00−10.000,00=40.000,00. Com mínimo 20.000,00, necessidade passa de zero para 20.000,00−(−10.000,00)=30.000,00.</t>
        </is>
      </c>
      <c r="Q192" s="20" t="inlineStr">
        <is>
          <t>D10: reprogramação altera datas estimadas de C e P, sem mudança de preços/quantidades. Vencimentos contratuais exigem aditivo próprio. D09: atraso projetado não altera direito vencido.
R corresponde aos R$ 20.000 já incorridos e não pagos. C e P correspondem integralmente a recursos futuros de custo, sem estoque ou adiantamentos nesta fixture.
Preservar baseline e corte histórico. Restante do mês corrente participa da previsão.
Recebimento previsto em dezembro não elimina atraso contratual de outubro. Não deslocar vencimento de R por arrastar uma barra de cronograma. Renegociação válida precisa de evento separado e histórico original preservado. Na variante independente com acordo efetivo em 28/10 prorrogando R para 15/11, o vencido de 31/10 cai a zero, mantendo R=20.000,00, Q=120.000,00 e a posição anterior de 27/10 vencida em 20.000,00.</t>
        </is>
      </c>
    </row>
    <row r="193" ht="42" customHeight="1">
      <c r="A193" s="16" t="inlineStr">
        <is>
          <t>CT17</t>
        </is>
      </c>
      <c r="B193" s="16" t="inlineStr">
        <is>
          <t>ETC_before_and_after_cents</t>
        </is>
      </c>
      <c r="C193" s="16" t="inlineStr">
        <is>
          <t>§3, §7.2, §10, I06, I12, I14, I19, I21</t>
        </is>
      </c>
      <c r="D193" s="16" t="inlineStr">
        <is>
          <t>centavos BRL</t>
        </is>
      </c>
      <c r="E193" s="16" t="inlineStr">
        <is>
          <t>=</t>
        </is>
      </c>
      <c r="F193" s="32" t="n">
        <v>10000000</v>
      </c>
      <c r="G193" s="33" t="n"/>
      <c r="H193" s="32">
        <f>IF(AND(ISNUMBER(F193),ISNUMBER(G193)),G193-F193,"")</f>
        <v/>
      </c>
      <c r="I193" s="16">
        <f>IF(COUNTBLANK(G193)=1,"Não executado",IF(ISNUMBER(F193)&lt;&gt;ISNUMBER(G193),"Tipo incompatível",IF(IF(E193="&lt;&gt;",G193&lt;&gt;F193,G193=F193),IF(OR(J193="",K193="",NOT(ISNUMBER(L193)),L193&lt;=0),"Evidência pendente","Compatível"),"Divergente")))</f>
        <v/>
      </c>
      <c r="J193" s="12" t="str"/>
      <c r="K193" s="12" t="str"/>
      <c r="L193" s="28" t="n"/>
      <c r="M193" s="16" t="str"/>
      <c r="N193" s="16" t="str"/>
      <c r="O193" s="16" t="str"/>
      <c r="P193" s="16" t="str"/>
      <c r="Q193" s="16" t="str"/>
    </row>
    <row r="194" ht="42" customHeight="1">
      <c r="A194" s="16" t="inlineStr">
        <is>
          <t>CT17</t>
        </is>
      </c>
      <c r="B194" s="16" t="inlineStr">
        <is>
          <t>EAC_before_and_after_cents</t>
        </is>
      </c>
      <c r="C194" s="16" t="inlineStr">
        <is>
          <t>§3, §7.2, §10, I06, I12, I14, I19, I21</t>
        </is>
      </c>
      <c r="D194" s="16" t="inlineStr">
        <is>
          <t>centavos BRL</t>
        </is>
      </c>
      <c r="E194" s="16" t="inlineStr">
        <is>
          <t>=</t>
        </is>
      </c>
      <c r="F194" s="32" t="n">
        <v>12000000</v>
      </c>
      <c r="G194" s="33" t="n"/>
      <c r="H194" s="32">
        <f>IF(AND(ISNUMBER(F194),ISNUMBER(G194)),G194-F194,"")</f>
        <v/>
      </c>
      <c r="I194" s="16">
        <f>IF(COUNTBLANK(G194)=1,"Não executado",IF(ISNUMBER(F194)&lt;&gt;ISNUMBER(G194),"Tipo incompatível",IF(IF(E194="&lt;&gt;",G194&lt;&gt;F194,G194=F194),IF(OR(J194="",K194="",NOT(ISNUMBER(L194)),L194&lt;=0),"Evidência pendente","Compatível"),"Divergente")))</f>
        <v/>
      </c>
      <c r="J194" s="12" t="str"/>
      <c r="K194" s="12" t="str"/>
      <c r="L194" s="28" t="n"/>
      <c r="M194" s="16" t="str"/>
      <c r="N194" s="16" t="str"/>
      <c r="O194" s="16" t="str"/>
      <c r="P194" s="16" t="str"/>
      <c r="Q194" s="16" t="str"/>
    </row>
    <row r="195" ht="42" customHeight="1">
      <c r="A195" s="16" t="inlineStr">
        <is>
          <t>CT17</t>
        </is>
      </c>
      <c r="B195" s="16" t="inlineStr">
        <is>
          <t>incurred_cost_unchanged_cents</t>
        </is>
      </c>
      <c r="C195" s="16" t="inlineStr">
        <is>
          <t>§3, §7.2, §10, I06, I12, I14, I19, I21</t>
        </is>
      </c>
      <c r="D195" s="16" t="inlineStr">
        <is>
          <t>centavos BRL</t>
        </is>
      </c>
      <c r="E195" s="16" t="inlineStr">
        <is>
          <t>=</t>
        </is>
      </c>
      <c r="F195" s="32" t="n">
        <v>2000000</v>
      </c>
      <c r="G195" s="33" t="n"/>
      <c r="H195" s="32">
        <f>IF(AND(ISNUMBER(F195),ISNUMBER(G195)),G195-F195,"")</f>
        <v/>
      </c>
      <c r="I195" s="16">
        <f>IF(COUNTBLANK(G195)=1,"Não executado",IF(ISNUMBER(F195)&lt;&gt;ISNUMBER(G195),"Tipo incompatível",IF(IF(E195="&lt;&gt;",G195&lt;&gt;F195,G195=F195),IF(OR(J195="",K195="",NOT(ISNUMBER(L195)),L195&lt;=0),"Evidência pendente","Compatível"),"Divergente")))</f>
        <v/>
      </c>
      <c r="J195" s="12" t="str"/>
      <c r="K195" s="12" t="str"/>
      <c r="L195" s="28" t="n"/>
      <c r="M195" s="16" t="str"/>
      <c r="N195" s="16" t="str"/>
      <c r="O195" s="16" t="str"/>
      <c r="P195" s="16" t="str"/>
      <c r="Q195" s="16" t="str"/>
    </row>
    <row r="196" ht="42" customHeight="1">
      <c r="A196" s="16" t="inlineStr">
        <is>
          <t>CT17</t>
        </is>
      </c>
      <c r="B196" s="16" t="inlineStr">
        <is>
          <t>original_projected_closing_cash_cents.2026-10</t>
        </is>
      </c>
      <c r="C196" s="16" t="inlineStr">
        <is>
          <t>§3, §7.2, §10, I06, I12, I14, I19, I21</t>
        </is>
      </c>
      <c r="D196" s="16" t="inlineStr">
        <is>
          <t>centavos BRL</t>
        </is>
      </c>
      <c r="E196" s="16" t="inlineStr">
        <is>
          <t>=</t>
        </is>
      </c>
      <c r="F196" s="32" t="n">
        <v>13000000</v>
      </c>
      <c r="G196" s="33" t="n"/>
      <c r="H196" s="32">
        <f>IF(AND(ISNUMBER(F196),ISNUMBER(G196)),G196-F196,"")</f>
        <v/>
      </c>
      <c r="I196" s="16">
        <f>IF(COUNTBLANK(G196)=1,"Não executado",IF(ISNUMBER(F196)&lt;&gt;ISNUMBER(G196),"Tipo incompatível",IF(IF(E196="&lt;&gt;",G196&lt;&gt;F196,G196=F196),IF(OR(J196="",K196="",NOT(ISNUMBER(L196)),L196&lt;=0),"Evidência pendente","Compatível"),"Divergente")))</f>
        <v/>
      </c>
      <c r="J196" s="12" t="str"/>
      <c r="K196" s="12" t="str"/>
      <c r="L196" s="28" t="n"/>
      <c r="M196" s="16" t="str"/>
      <c r="N196" s="16" t="str"/>
      <c r="O196" s="16" t="str"/>
      <c r="P196" s="16" t="str"/>
      <c r="Q196" s="16" t="str"/>
    </row>
    <row r="197" ht="42" customHeight="1">
      <c r="A197" s="16" t="inlineStr">
        <is>
          <t>CT17</t>
        </is>
      </c>
      <c r="B197" s="16" t="inlineStr">
        <is>
          <t>original_projected_closing_cash_cents.2026-11</t>
        </is>
      </c>
      <c r="C197" s="16" t="inlineStr">
        <is>
          <t>§3, §7.2, §10, I06, I12, I14, I19, I21</t>
        </is>
      </c>
      <c r="D197" s="16" t="inlineStr">
        <is>
          <t>centavos BRL</t>
        </is>
      </c>
      <c r="E197" s="16" t="inlineStr">
        <is>
          <t>=</t>
        </is>
      </c>
      <c r="F197" s="32" t="n">
        <v>8000000</v>
      </c>
      <c r="G197" s="33" t="n"/>
      <c r="H197" s="32">
        <f>IF(AND(ISNUMBER(F197),ISNUMBER(G197)),G197-F197,"")</f>
        <v/>
      </c>
      <c r="I197" s="16">
        <f>IF(COUNTBLANK(G197)=1,"Não executado",IF(ISNUMBER(F197)&lt;&gt;ISNUMBER(G197),"Tipo incompatível",IF(IF(E197="&lt;&gt;",G197&lt;&gt;F197,G197=F197),IF(OR(J197="",K197="",NOT(ISNUMBER(L197)),L197&lt;=0),"Evidência pendente","Compatível"),"Divergente")))</f>
        <v/>
      </c>
      <c r="J197" s="12" t="str"/>
      <c r="K197" s="12" t="str"/>
      <c r="L197" s="28" t="n"/>
      <c r="M197" s="16" t="str"/>
      <c r="N197" s="16" t="str"/>
      <c r="O197" s="16" t="str"/>
      <c r="P197" s="16" t="str"/>
      <c r="Q197" s="16" t="str"/>
    </row>
    <row r="198" ht="42" customHeight="1">
      <c r="A198" s="16" t="inlineStr">
        <is>
          <t>CT17</t>
        </is>
      </c>
      <c r="B198" s="16" t="inlineStr">
        <is>
          <t>original_projected_closing_cash_cents.2026-12</t>
        </is>
      </c>
      <c r="C198" s="16" t="inlineStr">
        <is>
          <t>§3, §7.2, §10, I06, I12, I14, I19, I21</t>
        </is>
      </c>
      <c r="D198" s="16" t="inlineStr">
        <is>
          <t>centavos BRL</t>
        </is>
      </c>
      <c r="E198" s="16" t="inlineStr">
        <is>
          <t>=</t>
        </is>
      </c>
      <c r="F198" s="32" t="n">
        <v>4000000</v>
      </c>
      <c r="G198" s="33" t="n"/>
      <c r="H198" s="32">
        <f>IF(AND(ISNUMBER(F198),ISNUMBER(G198)),G198-F198,"")</f>
        <v/>
      </c>
      <c r="I198" s="16">
        <f>IF(COUNTBLANK(G198)=1,"Não executado",IF(ISNUMBER(F198)&lt;&gt;ISNUMBER(G198),"Tipo incompatível",IF(IF(E198="&lt;&gt;",G198&lt;&gt;F198,G198=F198),IF(OR(J198="",K198="",NOT(ISNUMBER(L198)),L198&lt;=0),"Evidência pendente","Compatível"),"Divergente")))</f>
        <v/>
      </c>
      <c r="J198" s="12" t="str"/>
      <c r="K198" s="12" t="str"/>
      <c r="L198" s="28" t="n"/>
      <c r="M198" s="16" t="str"/>
      <c r="N198" s="16" t="str"/>
      <c r="O198" s="16" t="str"/>
      <c r="P198" s="16" t="str"/>
      <c r="Q198" s="16" t="str"/>
    </row>
    <row r="199" ht="42" customHeight="1">
      <c r="A199" s="16" t="inlineStr">
        <is>
          <t>CT17</t>
        </is>
      </c>
      <c r="B199" s="16" t="inlineStr">
        <is>
          <t>reprogrammed_projected_closing_cash_cents.2026-10</t>
        </is>
      </c>
      <c r="C199" s="16" t="inlineStr">
        <is>
          <t>§3, §7.2, §10, I06, I12, I14, I19, I21</t>
        </is>
      </c>
      <c r="D199" s="16" t="inlineStr">
        <is>
          <t>centavos BRL</t>
        </is>
      </c>
      <c r="E199" s="16" t="inlineStr">
        <is>
          <t>=</t>
        </is>
      </c>
      <c r="F199" s="32" t="n">
        <v>8000000</v>
      </c>
      <c r="G199" s="33" t="n"/>
      <c r="H199" s="32">
        <f>IF(AND(ISNUMBER(F199),ISNUMBER(G199)),G199-F199,"")</f>
        <v/>
      </c>
      <c r="I199" s="16">
        <f>IF(COUNTBLANK(G199)=1,"Não executado",IF(ISNUMBER(F199)&lt;&gt;ISNUMBER(G199),"Tipo incompatível",IF(IF(E199="&lt;&gt;",G199&lt;&gt;F199,G199=F199),IF(OR(J199="",K199="",NOT(ISNUMBER(L199)),L199&lt;=0),"Evidência pendente","Compatível"),"Divergente")))</f>
        <v/>
      </c>
      <c r="J199" s="12" t="str"/>
      <c r="K199" s="12" t="str"/>
      <c r="L199" s="28" t="n"/>
      <c r="M199" s="16" t="str"/>
      <c r="N199" s="16" t="str"/>
      <c r="O199" s="16" t="str"/>
      <c r="P199" s="16" t="str"/>
      <c r="Q199" s="16" t="str"/>
    </row>
    <row r="200" ht="42" customHeight="1">
      <c r="A200" s="16" t="inlineStr">
        <is>
          <t>CT17</t>
        </is>
      </c>
      <c r="B200" s="16" t="inlineStr">
        <is>
          <t>reprogrammed_projected_closing_cash_cents.2026-11</t>
        </is>
      </c>
      <c r="C200" s="16" t="inlineStr">
        <is>
          <t>§3, §7.2, §10, I06, I12, I14, I19, I21</t>
        </is>
      </c>
      <c r="D200" s="16" t="inlineStr">
        <is>
          <t>centavos BRL</t>
        </is>
      </c>
      <c r="E200" s="16" t="inlineStr">
        <is>
          <t>=</t>
        </is>
      </c>
      <c r="F200" s="32" t="n">
        <v>-1000000</v>
      </c>
      <c r="G200" s="33" t="n"/>
      <c r="H200" s="32">
        <f>IF(AND(ISNUMBER(F200),ISNUMBER(G200)),G200-F200,"")</f>
        <v/>
      </c>
      <c r="I200" s="16">
        <f>IF(COUNTBLANK(G200)=1,"Não executado",IF(ISNUMBER(F200)&lt;&gt;ISNUMBER(G200),"Tipo incompatível",IF(IF(E200="&lt;&gt;",G200&lt;&gt;F200,G200=F200),IF(OR(J200="",K200="",NOT(ISNUMBER(L200)),L200&lt;=0),"Evidência pendente","Compatível"),"Divergente")))</f>
        <v/>
      </c>
      <c r="J200" s="12" t="str"/>
      <c r="K200" s="12" t="str"/>
      <c r="L200" s="28" t="n"/>
      <c r="M200" s="16" t="str"/>
      <c r="N200" s="16" t="str"/>
      <c r="O200" s="16" t="str"/>
      <c r="P200" s="16" t="str"/>
      <c r="Q200" s="16" t="str"/>
    </row>
    <row r="201" ht="42" customHeight="1">
      <c r="A201" s="16" t="inlineStr">
        <is>
          <t>CT17</t>
        </is>
      </c>
      <c r="B201" s="16" t="inlineStr">
        <is>
          <t>reprogrammed_projected_closing_cash_cents.2026-12</t>
        </is>
      </c>
      <c r="C201" s="16" t="inlineStr">
        <is>
          <t>§3, §7.2, §10, I06, I12, I14, I19, I21</t>
        </is>
      </c>
      <c r="D201" s="16" t="inlineStr">
        <is>
          <t>centavos BRL</t>
        </is>
      </c>
      <c r="E201" s="16" t="inlineStr">
        <is>
          <t>=</t>
        </is>
      </c>
      <c r="F201" s="32" t="n">
        <v>4000000</v>
      </c>
      <c r="G201" s="33" t="n"/>
      <c r="H201" s="32">
        <f>IF(AND(ISNUMBER(F201),ISNUMBER(G201)),G201-F201,"")</f>
        <v/>
      </c>
      <c r="I201" s="16">
        <f>IF(COUNTBLANK(G201)=1,"Não executado",IF(ISNUMBER(F201)&lt;&gt;ISNUMBER(G201),"Tipo incompatível",IF(IF(E201="&lt;&gt;",G201&lt;&gt;F201,G201=F201),IF(OR(J201="",K201="",NOT(ISNUMBER(L201)),L201&lt;=0),"Evidência pendente","Compatível"),"Divergente")))</f>
        <v/>
      </c>
      <c r="J201" s="12" t="str"/>
      <c r="K201" s="12" t="str"/>
      <c r="L201" s="28" t="n"/>
      <c r="M201" s="16" t="str"/>
      <c r="N201" s="16" t="str"/>
      <c r="O201" s="16" t="str"/>
      <c r="P201" s="16" t="str"/>
      <c r="Q201" s="16" t="str"/>
    </row>
    <row r="202" ht="42" customHeight="1">
      <c r="A202" s="16" t="inlineStr">
        <is>
          <t>CT17</t>
        </is>
      </c>
      <c r="B202" s="16" t="inlineStr">
        <is>
          <t>original_peak_additional_funding_cents</t>
        </is>
      </c>
      <c r="C202" s="16" t="inlineStr">
        <is>
          <t>§3, §7.2, §10, I06, I12, I14, I19, I21</t>
        </is>
      </c>
      <c r="D202" s="16" t="inlineStr">
        <is>
          <t>centavos BRL</t>
        </is>
      </c>
      <c r="E202" s="16" t="inlineStr">
        <is>
          <t>=</t>
        </is>
      </c>
      <c r="F202" s="32" t="n">
        <v>0</v>
      </c>
      <c r="G202" s="33" t="n"/>
      <c r="H202" s="32">
        <f>IF(AND(ISNUMBER(F202),ISNUMBER(G202)),G202-F202,"")</f>
        <v/>
      </c>
      <c r="I202" s="16">
        <f>IF(COUNTBLANK(G202)=1,"Não executado",IF(ISNUMBER(F202)&lt;&gt;ISNUMBER(G202),"Tipo incompatível",IF(IF(E202="&lt;&gt;",G202&lt;&gt;F202,G202=F202),IF(OR(J202="",K202="",NOT(ISNUMBER(L202)),L202&lt;=0),"Evidência pendente","Compatível"),"Divergente")))</f>
        <v/>
      </c>
      <c r="J202" s="12" t="str"/>
      <c r="K202" s="12" t="str"/>
      <c r="L202" s="28" t="n"/>
      <c r="M202" s="16" t="str"/>
      <c r="N202" s="16" t="str"/>
      <c r="O202" s="16" t="str"/>
      <c r="P202" s="16" t="str"/>
      <c r="Q202" s="16" t="str"/>
    </row>
    <row r="203" ht="42" customHeight="1">
      <c r="A203" s="16" t="inlineStr">
        <is>
          <t>CT17</t>
        </is>
      </c>
      <c r="B203" s="16" t="inlineStr">
        <is>
          <t>reprogrammed_peak_additional_funding_cents</t>
        </is>
      </c>
      <c r="C203" s="16" t="inlineStr">
        <is>
          <t>§3, §7.2, §10, I06, I12, I14, I19, I21</t>
        </is>
      </c>
      <c r="D203" s="16" t="inlineStr">
        <is>
          <t>centavos BRL</t>
        </is>
      </c>
      <c r="E203" s="16" t="inlineStr">
        <is>
          <t>=</t>
        </is>
      </c>
      <c r="F203" s="32" t="n">
        <v>3000000</v>
      </c>
      <c r="G203" s="33" t="n"/>
      <c r="H203" s="32">
        <f>IF(AND(ISNUMBER(F203),ISNUMBER(G203)),G203-F203,"")</f>
        <v/>
      </c>
      <c r="I203" s="16">
        <f>IF(COUNTBLANK(G203)=1,"Não executado",IF(ISNUMBER(F203)&lt;&gt;ISNUMBER(G203),"Tipo incompatível",IF(IF(E203="&lt;&gt;",G203&lt;&gt;F203,G203=F203),IF(OR(J203="",K203="",NOT(ISNUMBER(L203)),L203&lt;=0),"Evidência pendente","Compatível"),"Divergente")))</f>
        <v/>
      </c>
      <c r="J203" s="12" t="str"/>
      <c r="K203" s="12" t="str"/>
      <c r="L203" s="28" t="n"/>
      <c r="M203" s="16" t="str"/>
      <c r="N203" s="16" t="str"/>
      <c r="O203" s="16" t="str"/>
      <c r="P203" s="16" t="str"/>
      <c r="Q203" s="16" t="str"/>
    </row>
    <row r="204" ht="42" customHeight="1">
      <c r="A204" s="16" t="inlineStr">
        <is>
          <t>CT17</t>
        </is>
      </c>
      <c r="B204" s="16" t="inlineStr">
        <is>
          <t>AP_overdue_at_2026_10_31_cents</t>
        </is>
      </c>
      <c r="C204" s="16" t="inlineStr">
        <is>
          <t>§3, §7.2, §10, I06, I12, I14, I19, I21</t>
        </is>
      </c>
      <c r="D204" s="16" t="inlineStr">
        <is>
          <t>centavos BRL</t>
        </is>
      </c>
      <c r="E204" s="16" t="inlineStr">
        <is>
          <t>=</t>
        </is>
      </c>
      <c r="F204" s="32" t="n">
        <v>2000000</v>
      </c>
      <c r="G204" s="33" t="n"/>
      <c r="H204" s="32">
        <f>IF(AND(ISNUMBER(F204),ISNUMBER(G204)),G204-F204,"")</f>
        <v/>
      </c>
      <c r="I204" s="16">
        <f>IF(COUNTBLANK(G204)=1,"Não executado",IF(ISNUMBER(F204)&lt;&gt;ISNUMBER(G204),"Tipo incompatível",IF(IF(E204="&lt;&gt;",G204&lt;&gt;F204,G204=F204),IF(OR(J204="",K204="",NOT(ISNUMBER(L204)),L204&lt;=0),"Evidência pendente","Compatível"),"Divergente")))</f>
        <v/>
      </c>
      <c r="J204" s="12" t="str"/>
      <c r="K204" s="12" t="str"/>
      <c r="L204" s="28" t="n"/>
      <c r="M204" s="16" t="str"/>
      <c r="N204" s="16" t="str"/>
      <c r="O204" s="16" t="str"/>
      <c r="P204" s="16" t="str"/>
      <c r="Q204" s="16" t="str"/>
    </row>
    <row r="205" ht="42" customHeight="1">
      <c r="A205" s="16" t="inlineStr">
        <is>
          <t>CT17</t>
        </is>
      </c>
      <c r="B205" s="16" t="inlineStr">
        <is>
          <t>AR_overdue_at_2026_10_31_cents</t>
        </is>
      </c>
      <c r="C205" s="16" t="inlineStr">
        <is>
          <t>§3, §7.2, §10, I06, I12, I14, I19, I21</t>
        </is>
      </c>
      <c r="D205" s="16" t="inlineStr">
        <is>
          <t>centavos BRL</t>
        </is>
      </c>
      <c r="E205" s="16" t="inlineStr">
        <is>
          <t>=</t>
        </is>
      </c>
      <c r="F205" s="32" t="n">
        <v>6000000</v>
      </c>
      <c r="G205" s="33" t="n"/>
      <c r="H205" s="32">
        <f>IF(AND(ISNUMBER(F205),ISNUMBER(G205)),G205-F205,"")</f>
        <v/>
      </c>
      <c r="I205" s="16">
        <f>IF(COUNTBLANK(G205)=1,"Não executado",IF(ISNUMBER(F205)&lt;&gt;ISNUMBER(G205),"Tipo incompatível",IF(IF(E205="&lt;&gt;",G205&lt;&gt;F205,G205=F205),IF(OR(J205="",K205="",NOT(ISNUMBER(L205)),L205&lt;=0),"Evidência pendente","Compatível"),"Divergente")))</f>
        <v/>
      </c>
      <c r="J205" s="12" t="str"/>
      <c r="K205" s="12" t="str"/>
      <c r="L205" s="28" t="n"/>
      <c r="M205" s="16" t="str"/>
      <c r="N205" s="16" t="str"/>
      <c r="O205" s="16" t="str"/>
      <c r="P205" s="16" t="str"/>
      <c r="Q205" s="16" t="str"/>
    </row>
    <row r="206" ht="42" customHeight="1">
      <c r="A206" s="16" t="inlineStr">
        <is>
          <t>CT17</t>
        </is>
      </c>
      <c r="B206" s="16" t="inlineStr">
        <is>
          <t>original_version_retained</t>
        </is>
      </c>
      <c r="C206" s="16" t="inlineStr">
        <is>
          <t>§3, §7.2, §10, I06, I12, I14, I19, I21</t>
        </is>
      </c>
      <c r="D206" s="16" t="inlineStr">
        <is>
          <t>booleano</t>
        </is>
      </c>
      <c r="E206" s="16" t="inlineStr">
        <is>
          <t>=</t>
        </is>
      </c>
      <c r="F206" s="32" t="b">
        <v>1</v>
      </c>
      <c r="G206" s="33" t="n"/>
      <c r="H206" s="32">
        <f>IF(AND(ISNUMBER(F206),ISNUMBER(G206)),G206-F206,"")</f>
        <v/>
      </c>
      <c r="I206" s="16">
        <f>IF(COUNTBLANK(G206)=1,"Não executado",IF(ISNUMBER(F206)&lt;&gt;ISNUMBER(G206),"Tipo incompatível",IF(IF(E206="&lt;&gt;",G206&lt;&gt;F206,G206=F206),IF(OR(J206="",K206="",NOT(ISNUMBER(L206)),L206&lt;=0),"Evidência pendente","Compatível"),"Divergente")))</f>
        <v/>
      </c>
      <c r="J206" s="12" t="str"/>
      <c r="K206" s="12" t="str"/>
      <c r="L206" s="28" t="n"/>
      <c r="M206" s="16" t="str"/>
      <c r="N206" s="16" t="str"/>
      <c r="O206" s="16" t="str"/>
      <c r="P206" s="16" t="str"/>
      <c r="Q206" s="16" t="str"/>
    </row>
    <row r="207" ht="42" customHeight="1">
      <c r="A207" s="16" t="inlineStr">
        <is>
          <t>CT17</t>
        </is>
      </c>
      <c r="B207" s="16" t="inlineStr">
        <is>
          <t>separate_valid_renegotiation_variant.effective_event_date</t>
        </is>
      </c>
      <c r="C207" s="16" t="inlineStr">
        <is>
          <t>§3, §7.2, §10, I06, I12, I14, I19, I21</t>
        </is>
      </c>
      <c r="D207" s="16" t="inlineStr">
        <is>
          <t>data ISO</t>
        </is>
      </c>
      <c r="E207" s="16" t="inlineStr">
        <is>
          <t>=</t>
        </is>
      </c>
      <c r="F207" s="32" t="inlineStr">
        <is>
          <t>2026-10-28</t>
        </is>
      </c>
      <c r="G207" s="33" t="n"/>
      <c r="H207" s="32">
        <f>IF(AND(ISNUMBER(F207),ISNUMBER(G207)),G207-F207,"")</f>
        <v/>
      </c>
      <c r="I207" s="16">
        <f>IF(COUNTBLANK(G207)=1,"Não executado",IF(ISNUMBER(F207)&lt;&gt;ISNUMBER(G207),"Tipo incompatível",IF(IF(E207="&lt;&gt;",G207&lt;&gt;F207,G207=F207),IF(OR(J207="",K207="",NOT(ISNUMBER(L207)),L207&lt;=0),"Evidência pendente","Compatível"),"Divergente")))</f>
        <v/>
      </c>
      <c r="J207" s="12" t="str"/>
      <c r="K207" s="12" t="str"/>
      <c r="L207" s="28" t="n"/>
      <c r="M207" s="16" t="str"/>
      <c r="N207" s="16" t="str"/>
      <c r="O207" s="16" t="str"/>
      <c r="P207" s="16" t="str"/>
      <c r="Q207" s="16" t="str"/>
    </row>
    <row r="208" ht="42" customHeight="1">
      <c r="A208" s="16" t="inlineStr">
        <is>
          <t>CT17</t>
        </is>
      </c>
      <c r="B208" s="16" t="inlineStr">
        <is>
          <t>separate_valid_renegotiation_variant.original_due</t>
        </is>
      </c>
      <c r="C208" s="16" t="inlineStr">
        <is>
          <t>§3, §7.2, §10, I06, I12, I14, I19, I21</t>
        </is>
      </c>
      <c r="D208" s="16" t="inlineStr">
        <is>
          <t>data ISO</t>
        </is>
      </c>
      <c r="E208" s="16" t="inlineStr">
        <is>
          <t>=</t>
        </is>
      </c>
      <c r="F208" s="32" t="inlineStr">
        <is>
          <t>2026-10-25</t>
        </is>
      </c>
      <c r="G208" s="33" t="n"/>
      <c r="H208" s="32">
        <f>IF(AND(ISNUMBER(F208),ISNUMBER(G208)),G208-F208,"")</f>
        <v/>
      </c>
      <c r="I208" s="16">
        <f>IF(COUNTBLANK(G208)=1,"Não executado",IF(ISNUMBER(F208)&lt;&gt;ISNUMBER(G208),"Tipo incompatível",IF(IF(E208="&lt;&gt;",G208&lt;&gt;F208,G208=F208),IF(OR(J208="",K208="",NOT(ISNUMBER(L208)),L208&lt;=0),"Evidência pendente","Compatível"),"Divergente")))</f>
        <v/>
      </c>
      <c r="J208" s="12" t="str"/>
      <c r="K208" s="12" t="str"/>
      <c r="L208" s="28" t="n"/>
      <c r="M208" s="16" t="str"/>
      <c r="N208" s="16" t="str"/>
      <c r="O208" s="16" t="str"/>
      <c r="P208" s="16" t="str"/>
      <c r="Q208" s="16" t="str"/>
    </row>
    <row r="209" ht="42" customHeight="1">
      <c r="A209" s="16" t="inlineStr">
        <is>
          <t>CT17</t>
        </is>
      </c>
      <c r="B209" s="16" t="inlineStr">
        <is>
          <t>separate_valid_renegotiation_variant.new_due</t>
        </is>
      </c>
      <c r="C209" s="16" t="inlineStr">
        <is>
          <t>§3, §7.2, §10, I06, I12, I14, I19, I21</t>
        </is>
      </c>
      <c r="D209" s="16" t="inlineStr">
        <is>
          <t>data ISO</t>
        </is>
      </c>
      <c r="E209" s="16" t="inlineStr">
        <is>
          <t>=</t>
        </is>
      </c>
      <c r="F209" s="32" t="inlineStr">
        <is>
          <t>2026-11-15</t>
        </is>
      </c>
      <c r="G209" s="33" t="n"/>
      <c r="H209" s="32">
        <f>IF(AND(ISNUMBER(F209),ISNUMBER(G209)),G209-F209,"")</f>
        <v/>
      </c>
      <c r="I209" s="16">
        <f>IF(COUNTBLANK(G209)=1,"Não executado",IF(ISNUMBER(F209)&lt;&gt;ISNUMBER(G209),"Tipo incompatível",IF(IF(E209="&lt;&gt;",G209&lt;&gt;F209,G209=F209),IF(OR(J209="",K209="",NOT(ISNUMBER(L209)),L209&lt;=0),"Evidência pendente","Compatível"),"Divergente")))</f>
        <v/>
      </c>
      <c r="J209" s="12" t="str"/>
      <c r="K209" s="12" t="str"/>
      <c r="L209" s="28" t="n"/>
      <c r="M209" s="16" t="str"/>
      <c r="N209" s="16" t="str"/>
      <c r="O209" s="16" t="str"/>
      <c r="P209" s="16" t="str"/>
      <c r="Q209" s="16" t="str"/>
    </row>
    <row r="210" ht="42" customHeight="1">
      <c r="A210" s="16" t="inlineStr">
        <is>
          <t>CT17</t>
        </is>
      </c>
      <c r="B210" s="16" t="inlineStr">
        <is>
          <t>separate_valid_renegotiation_variant.R_unchanged_cents</t>
        </is>
      </c>
      <c r="C210" s="16" t="inlineStr">
        <is>
          <t>§3, §7.2, §10, I06, I12, I14, I19, I21</t>
        </is>
      </c>
      <c r="D210" s="16" t="inlineStr">
        <is>
          <t>centavos BRL</t>
        </is>
      </c>
      <c r="E210" s="16" t="inlineStr">
        <is>
          <t>=</t>
        </is>
      </c>
      <c r="F210" s="32" t="n">
        <v>2000000</v>
      </c>
      <c r="G210" s="33" t="n"/>
      <c r="H210" s="32">
        <f>IF(AND(ISNUMBER(F210),ISNUMBER(G210)),G210-F210,"")</f>
        <v/>
      </c>
      <c r="I210" s="16">
        <f>IF(COUNTBLANK(G210)=1,"Não executado",IF(ISNUMBER(F210)&lt;&gt;ISNUMBER(G210),"Tipo incompatível",IF(IF(E210="&lt;&gt;",G210&lt;&gt;F210,G210=F210),IF(OR(J210="",K210="",NOT(ISNUMBER(L210)),L210&lt;=0),"Evidência pendente","Compatível"),"Divergente")))</f>
        <v/>
      </c>
      <c r="J210" s="12" t="str"/>
      <c r="K210" s="12" t="str"/>
      <c r="L210" s="28" t="n"/>
      <c r="M210" s="16" t="str"/>
      <c r="N210" s="16" t="str"/>
      <c r="O210" s="16" t="str"/>
      <c r="P210" s="16" t="str"/>
      <c r="Q210" s="16" t="str"/>
    </row>
    <row r="211" ht="42" customHeight="1">
      <c r="A211" s="16" t="inlineStr">
        <is>
          <t>CT17</t>
        </is>
      </c>
      <c r="B211" s="16" t="inlineStr">
        <is>
          <t>separate_valid_renegotiation_variant.overdue_before_event_at_2026_10_27_cents</t>
        </is>
      </c>
      <c r="C211" s="16" t="inlineStr">
        <is>
          <t>§3, §7.2, §10, I06, I12, I14, I19, I21</t>
        </is>
      </c>
      <c r="D211" s="16" t="inlineStr">
        <is>
          <t>centavos BRL</t>
        </is>
      </c>
      <c r="E211" s="16" t="inlineStr">
        <is>
          <t>=</t>
        </is>
      </c>
      <c r="F211" s="32" t="n">
        <v>2000000</v>
      </c>
      <c r="G211" s="33" t="n"/>
      <c r="H211" s="32">
        <f>IF(AND(ISNUMBER(F211),ISNUMBER(G211)),G211-F211,"")</f>
        <v/>
      </c>
      <c r="I211" s="16">
        <f>IF(COUNTBLANK(G211)=1,"Não executado",IF(ISNUMBER(F211)&lt;&gt;ISNUMBER(G211),"Tipo incompatível",IF(IF(E211="&lt;&gt;",G211&lt;&gt;F211,G211=F211),IF(OR(J211="",K211="",NOT(ISNUMBER(L211)),L211&lt;=0),"Evidência pendente","Compatível"),"Divergente")))</f>
        <v/>
      </c>
      <c r="J211" s="12" t="str"/>
      <c r="K211" s="12" t="str"/>
      <c r="L211" s="28" t="n"/>
      <c r="M211" s="16" t="str"/>
      <c r="N211" s="16" t="str"/>
      <c r="O211" s="16" t="str"/>
      <c r="P211" s="16" t="str"/>
      <c r="Q211" s="16" t="str"/>
    </row>
    <row r="212" ht="42" customHeight="1">
      <c r="A212" s="16" t="inlineStr">
        <is>
          <t>CT17</t>
        </is>
      </c>
      <c r="B212" s="16" t="inlineStr">
        <is>
          <t>separate_valid_renegotiation_variant.overdue_after_event_at_2026_10_31_cents</t>
        </is>
      </c>
      <c r="C212" s="16" t="inlineStr">
        <is>
          <t>§3, §7.2, §10, I06, I12, I14, I19, I21</t>
        </is>
      </c>
      <c r="D212" s="16" t="inlineStr">
        <is>
          <t>centavos BRL</t>
        </is>
      </c>
      <c r="E212" s="16" t="inlineStr">
        <is>
          <t>=</t>
        </is>
      </c>
      <c r="F212" s="32" t="n">
        <v>0</v>
      </c>
      <c r="G212" s="33" t="n"/>
      <c r="H212" s="32">
        <f>IF(AND(ISNUMBER(F212),ISNUMBER(G212)),G212-F212,"")</f>
        <v/>
      </c>
      <c r="I212" s="16">
        <f>IF(COUNTBLANK(G212)=1,"Não executado",IF(ISNUMBER(F212)&lt;&gt;ISNUMBER(G212),"Tipo incompatível",IF(IF(E212="&lt;&gt;",G212&lt;&gt;F212,G212=F212),IF(OR(J212="",K212="",NOT(ISNUMBER(L212)),L212&lt;=0),"Evidência pendente","Compatível"),"Divergente")))</f>
        <v/>
      </c>
      <c r="J212" s="12" t="str"/>
      <c r="K212" s="12" t="str"/>
      <c r="L212" s="28" t="n"/>
      <c r="M212" s="16" t="str"/>
      <c r="N212" s="16" t="str"/>
      <c r="O212" s="16" t="str"/>
      <c r="P212" s="16" t="str"/>
      <c r="Q212" s="16" t="str"/>
    </row>
    <row r="213" ht="42" customHeight="1">
      <c r="A213" s="16" t="inlineStr">
        <is>
          <t>CT17</t>
        </is>
      </c>
      <c r="B213" s="16" t="inlineStr">
        <is>
          <t>separate_valid_renegotiation_variant.Q_unchanged_cents</t>
        </is>
      </c>
      <c r="C213" s="16" t="inlineStr">
        <is>
          <t>§3, §7.2, §10, I06, I12, I14, I19, I21</t>
        </is>
      </c>
      <c r="D213" s="16" t="inlineStr">
        <is>
          <t>centavos BRL</t>
        </is>
      </c>
      <c r="E213" s="16" t="inlineStr">
        <is>
          <t>=</t>
        </is>
      </c>
      <c r="F213" s="32" t="n">
        <v>12000000</v>
      </c>
      <c r="G213" s="33" t="n"/>
      <c r="H213" s="32">
        <f>IF(AND(ISNUMBER(F213),ISNUMBER(G213)),G213-F213,"")</f>
        <v/>
      </c>
      <c r="I213" s="16">
        <f>IF(COUNTBLANK(G213)=1,"Não executado",IF(ISNUMBER(F213)&lt;&gt;ISNUMBER(G213),"Tipo incompatível",IF(IF(E213="&lt;&gt;",G213&lt;&gt;F213,G213=F213),IF(OR(J213="",K213="",NOT(ISNUMBER(L213)),L213&lt;=0),"Evidência pendente","Compatível"),"Divergente")))</f>
        <v/>
      </c>
      <c r="J213" s="12" t="str"/>
      <c r="K213" s="12" t="str"/>
      <c r="L213" s="28" t="n"/>
      <c r="M213" s="16" t="str"/>
      <c r="N213" s="16" t="str"/>
      <c r="O213" s="16" t="str"/>
      <c r="P213" s="16" t="str"/>
      <c r="Q213" s="16" t="str"/>
    </row>
    <row r="214" ht="112" customHeight="1">
      <c r="A214" s="20" t="inlineStr">
        <is>
          <t>CT18</t>
        </is>
      </c>
      <c r="B214" s="20" t="inlineStr">
        <is>
          <t>states[A].R_cents</t>
        </is>
      </c>
      <c r="C214" s="20" t="inlineStr">
        <is>
          <t>§7.1, §7.2, I05, I10, I11, I12</t>
        </is>
      </c>
      <c r="D214" s="20" t="inlineStr">
        <is>
          <t>centavos BRL</t>
        </is>
      </c>
      <c r="E214" s="20" t="inlineStr">
        <is>
          <t>=</t>
        </is>
      </c>
      <c r="F214" s="29" t="n">
        <v>0</v>
      </c>
      <c r="G214" s="30" t="n"/>
      <c r="H214" s="29">
        <f>IF(AND(ISNUMBER(F214),ISNUMBER(G214)),G214-F214,"")</f>
        <v/>
      </c>
      <c r="I214" s="20">
        <f>IF(COUNTBLANK(G214)=1,"Não executado",IF(ISNUMBER(F214)&lt;&gt;ISNUMBER(G214),"Tipo incompatível",IF(IF(E214="&lt;&gt;",G214&lt;&gt;F214,G214=F214),IF(OR(J214="",K214="",NOT(ISNUMBER(L214)),L214&lt;=0),"Evidência pendente","Compatível"),"Divergente")))</f>
        <v/>
      </c>
      <c r="J214" s="23" t="str"/>
      <c r="K214" s="23" t="str"/>
      <c r="L214" s="31" t="n"/>
      <c r="M214" s="20" t="inlineStr">
        <is>
          <t>Cobertura da previsão ao contrato ao título e encargo futuro</t>
        </is>
      </c>
      <c r="N214" s="20" t="inlineStr">
        <is>
          <t>{"initial_uncovered_forecast_cents": 10000000, "firm_contract_cents": 6000000, "recognized_title_principal_cents": 2000000, "principal_payment_cents": 500000, "future_interest_adjustment_cents": 200000, "future_interest_expected_date": "2026-11-20", "stage_F_cutoff": "2026-11-20"}</t>
        </is>
      </c>
      <c r="O214" s="20" t="inlineStr">
        <is>
          <t>A: registrar somente previsão 100.000,00.
B: contratar 60.000,00 do mesmo escopo.
C: constituir título de 20.000,00 desse contrato.
D: pagar 5.000,00 de principal.
E: projetar AF de 2.000,00.
F: no corte de 20/11, constituir os mesmos 2.000,00 como encargo e retirar de AF, sem outros eventos entre os cortes.</t>
        </is>
      </c>
      <c r="P214" s="20" t="inlineStr">
        <is>
          <t>D: C=60.000,00−H5.000,00−Rv15.000,00=40.000,00; Q=15.000,00+40.000,00+40.000,00=95.000,00.
E/F: cenário=95.000,00+2.000,00=97.000,00 antes da constituição e 17.000,00+40.000,00+40.000,00=97.000,00 depois.</t>
        </is>
      </c>
      <c r="Q214" s="20" t="inlineStr">
        <is>
          <t>Mesmo escopo, preço e moeda; cada conversão tem cobertura explícita. AF de 2.000,00 não está embutido em R/C/P nem altera o principal V.
Contrato e pedido da mesma compra não acrescentam cobertura duplicada.
Os juros fora do preço não entram em Rv como principal nem em H. AF sai quando o mesmo encargo entra em R.</t>
        </is>
      </c>
    </row>
    <row r="215" ht="42" customHeight="1">
      <c r="A215" s="16" t="inlineStr">
        <is>
          <t>CT18</t>
        </is>
      </c>
      <c r="B215" s="16" t="inlineStr">
        <is>
          <t>states[A].C_cents</t>
        </is>
      </c>
      <c r="C215" s="16" t="inlineStr">
        <is>
          <t>§7.1, §7.2, I05, I10, I11, I12</t>
        </is>
      </c>
      <c r="D215" s="16" t="inlineStr">
        <is>
          <t>centavos BRL</t>
        </is>
      </c>
      <c r="E215" s="16" t="inlineStr">
        <is>
          <t>=</t>
        </is>
      </c>
      <c r="F215" s="32" t="n">
        <v>0</v>
      </c>
      <c r="G215" s="33" t="n"/>
      <c r="H215" s="32">
        <f>IF(AND(ISNUMBER(F215),ISNUMBER(G215)),G215-F215,"")</f>
        <v/>
      </c>
      <c r="I215" s="16">
        <f>IF(COUNTBLANK(G215)=1,"Não executado",IF(ISNUMBER(F215)&lt;&gt;ISNUMBER(G215),"Tipo incompatível",IF(IF(E215="&lt;&gt;",G215&lt;&gt;F215,G215=F215),IF(OR(J215="",K215="",NOT(ISNUMBER(L215)),L215&lt;=0),"Evidência pendente","Compatível"),"Divergente")))</f>
        <v/>
      </c>
      <c r="J215" s="12" t="str"/>
      <c r="K215" s="12" t="str"/>
      <c r="L215" s="28" t="n"/>
      <c r="M215" s="16" t="str"/>
      <c r="N215" s="16" t="str"/>
      <c r="O215" s="16" t="str"/>
      <c r="P215" s="16" t="str"/>
      <c r="Q215" s="16" t="str"/>
    </row>
    <row r="216" ht="42" customHeight="1">
      <c r="A216" s="16" t="inlineStr">
        <is>
          <t>CT18</t>
        </is>
      </c>
      <c r="B216" s="16" t="inlineStr">
        <is>
          <t>states[A].P_cents</t>
        </is>
      </c>
      <c r="C216" s="16" t="inlineStr">
        <is>
          <t>§7.1, §7.2, I05, I10, I11, I12</t>
        </is>
      </c>
      <c r="D216" s="16" t="inlineStr">
        <is>
          <t>centavos BRL</t>
        </is>
      </c>
      <c r="E216" s="16" t="inlineStr">
        <is>
          <t>=</t>
        </is>
      </c>
      <c r="F216" s="32" t="n">
        <v>10000000</v>
      </c>
      <c r="G216" s="33" t="n"/>
      <c r="H216" s="32">
        <f>IF(AND(ISNUMBER(F216),ISNUMBER(G216)),G216-F216,"")</f>
        <v/>
      </c>
      <c r="I216" s="16">
        <f>IF(COUNTBLANK(G216)=1,"Não executado",IF(ISNUMBER(F216)&lt;&gt;ISNUMBER(G216),"Tipo incompatível",IF(IF(E216="&lt;&gt;",G216&lt;&gt;F216,G216=F216),IF(OR(J216="",K216="",NOT(ISNUMBER(L216)),L216&lt;=0),"Evidência pendente","Compatível"),"Divergente")))</f>
        <v/>
      </c>
      <c r="J216" s="12" t="str"/>
      <c r="K216" s="12" t="str"/>
      <c r="L216" s="28" t="n"/>
      <c r="M216" s="16" t="str"/>
      <c r="N216" s="16" t="str"/>
      <c r="O216" s="16" t="str"/>
      <c r="P216" s="16" t="str"/>
      <c r="Q216" s="16" t="str"/>
    </row>
    <row r="217" ht="42" customHeight="1">
      <c r="A217" s="16" t="inlineStr">
        <is>
          <t>CT18</t>
        </is>
      </c>
      <c r="B217" s="16" t="inlineStr">
        <is>
          <t>states[A].Q_cents</t>
        </is>
      </c>
      <c r="C217" s="16" t="inlineStr">
        <is>
          <t>§7.1, §7.2, I05, I10, I11, I12</t>
        </is>
      </c>
      <c r="D217" s="16" t="inlineStr">
        <is>
          <t>centavos BRL</t>
        </is>
      </c>
      <c r="E217" s="16" t="inlineStr">
        <is>
          <t>=</t>
        </is>
      </c>
      <c r="F217" s="32" t="n">
        <v>10000000</v>
      </c>
      <c r="G217" s="33" t="n"/>
      <c r="H217" s="32">
        <f>IF(AND(ISNUMBER(F217),ISNUMBER(G217)),G217-F217,"")</f>
        <v/>
      </c>
      <c r="I217" s="16">
        <f>IF(COUNTBLANK(G217)=1,"Não executado",IF(ISNUMBER(F217)&lt;&gt;ISNUMBER(G217),"Tipo incompatível",IF(IF(E217="&lt;&gt;",G217&lt;&gt;F217,G217=F217),IF(OR(J217="",K217="",NOT(ISNUMBER(L217)),L217&lt;=0),"Evidência pendente","Compatível"),"Divergente")))</f>
        <v/>
      </c>
      <c r="J217" s="12" t="str"/>
      <c r="K217" s="12" t="str"/>
      <c r="L217" s="28" t="n"/>
      <c r="M217" s="16" t="str"/>
      <c r="N217" s="16" t="str"/>
      <c r="O217" s="16" t="str"/>
      <c r="P217" s="16" t="str"/>
      <c r="Q217" s="16" t="str"/>
    </row>
    <row r="218" ht="42" customHeight="1">
      <c r="A218" s="16" t="inlineStr">
        <is>
          <t>CT18</t>
        </is>
      </c>
      <c r="B218" s="16" t="inlineStr">
        <is>
          <t>states[A].AF_cents</t>
        </is>
      </c>
      <c r="C218" s="16" t="inlineStr">
        <is>
          <t>§7.1, §7.2, I05, I10, I11, I12</t>
        </is>
      </c>
      <c r="D218" s="16" t="inlineStr">
        <is>
          <t>centavos BRL</t>
        </is>
      </c>
      <c r="E218" s="16" t="inlineStr">
        <is>
          <t>=</t>
        </is>
      </c>
      <c r="F218" s="32" t="n">
        <v>0</v>
      </c>
      <c r="G218" s="33" t="n"/>
      <c r="H218" s="32">
        <f>IF(AND(ISNUMBER(F218),ISNUMBER(G218)),G218-F218,"")</f>
        <v/>
      </c>
      <c r="I218" s="16">
        <f>IF(COUNTBLANK(G218)=1,"Não executado",IF(ISNUMBER(F218)&lt;&gt;ISNUMBER(G218),"Tipo incompatível",IF(IF(E218="&lt;&gt;",G218&lt;&gt;F218,G218=F218),IF(OR(J218="",K218="",NOT(ISNUMBER(L218)),L218&lt;=0),"Evidência pendente","Compatível"),"Divergente")))</f>
        <v/>
      </c>
      <c r="J218" s="12" t="str"/>
      <c r="K218" s="12" t="str"/>
      <c r="L218" s="28" t="n"/>
      <c r="M218" s="16" t="str"/>
      <c r="N218" s="16" t="str"/>
      <c r="O218" s="16" t="str"/>
      <c r="P218" s="16" t="str"/>
      <c r="Q218" s="16" t="str"/>
    </row>
    <row r="219" ht="42" customHeight="1">
      <c r="A219" s="16" t="inlineStr">
        <is>
          <t>CT18</t>
        </is>
      </c>
      <c r="B219" s="16" t="inlineStr">
        <is>
          <t>states[B].R_cents</t>
        </is>
      </c>
      <c r="C219" s="16" t="inlineStr">
        <is>
          <t>§7.1, §7.2, I05, I10, I11, I12</t>
        </is>
      </c>
      <c r="D219" s="16" t="inlineStr">
        <is>
          <t>centavos BRL</t>
        </is>
      </c>
      <c r="E219" s="16" t="inlineStr">
        <is>
          <t>=</t>
        </is>
      </c>
      <c r="F219" s="32" t="n">
        <v>0</v>
      </c>
      <c r="G219" s="33" t="n"/>
      <c r="H219" s="32">
        <f>IF(AND(ISNUMBER(F219),ISNUMBER(G219)),G219-F219,"")</f>
        <v/>
      </c>
      <c r="I219" s="16">
        <f>IF(COUNTBLANK(G219)=1,"Não executado",IF(ISNUMBER(F219)&lt;&gt;ISNUMBER(G219),"Tipo incompatível",IF(IF(E219="&lt;&gt;",G219&lt;&gt;F219,G219=F219),IF(OR(J219="",K219="",NOT(ISNUMBER(L219)),L219&lt;=0),"Evidência pendente","Compatível"),"Divergente")))</f>
        <v/>
      </c>
      <c r="J219" s="12" t="str"/>
      <c r="K219" s="12" t="str"/>
      <c r="L219" s="28" t="n"/>
      <c r="M219" s="16" t="str"/>
      <c r="N219" s="16" t="str"/>
      <c r="O219" s="16" t="str"/>
      <c r="P219" s="16" t="str"/>
      <c r="Q219" s="16" t="str"/>
    </row>
    <row r="220" ht="42" customHeight="1">
      <c r="A220" s="16" t="inlineStr">
        <is>
          <t>CT18</t>
        </is>
      </c>
      <c r="B220" s="16" t="inlineStr">
        <is>
          <t>states[B].C_cents</t>
        </is>
      </c>
      <c r="C220" s="16" t="inlineStr">
        <is>
          <t>§7.1, §7.2, I05, I10, I11, I12</t>
        </is>
      </c>
      <c r="D220" s="16" t="inlineStr">
        <is>
          <t>centavos BRL</t>
        </is>
      </c>
      <c r="E220" s="16" t="inlineStr">
        <is>
          <t>=</t>
        </is>
      </c>
      <c r="F220" s="32" t="n">
        <v>6000000</v>
      </c>
      <c r="G220" s="33" t="n"/>
      <c r="H220" s="32">
        <f>IF(AND(ISNUMBER(F220),ISNUMBER(G220)),G220-F220,"")</f>
        <v/>
      </c>
      <c r="I220" s="16">
        <f>IF(COUNTBLANK(G220)=1,"Não executado",IF(ISNUMBER(F220)&lt;&gt;ISNUMBER(G220),"Tipo incompatível",IF(IF(E220="&lt;&gt;",G220&lt;&gt;F220,G220=F220),IF(OR(J220="",K220="",NOT(ISNUMBER(L220)),L220&lt;=0),"Evidência pendente","Compatível"),"Divergente")))</f>
        <v/>
      </c>
      <c r="J220" s="12" t="str"/>
      <c r="K220" s="12" t="str"/>
      <c r="L220" s="28" t="n"/>
      <c r="M220" s="16" t="str"/>
      <c r="N220" s="16" t="str"/>
      <c r="O220" s="16" t="str"/>
      <c r="P220" s="16" t="str"/>
      <c r="Q220" s="16" t="str"/>
    </row>
    <row r="221" ht="42" customHeight="1">
      <c r="A221" s="16" t="inlineStr">
        <is>
          <t>CT18</t>
        </is>
      </c>
      <c r="B221" s="16" t="inlineStr">
        <is>
          <t>states[B].P_cents</t>
        </is>
      </c>
      <c r="C221" s="16" t="inlineStr">
        <is>
          <t>§7.1, §7.2, I05, I10, I11, I12</t>
        </is>
      </c>
      <c r="D221" s="16" t="inlineStr">
        <is>
          <t>centavos BRL</t>
        </is>
      </c>
      <c r="E221" s="16" t="inlineStr">
        <is>
          <t>=</t>
        </is>
      </c>
      <c r="F221" s="32" t="n">
        <v>4000000</v>
      </c>
      <c r="G221" s="33" t="n"/>
      <c r="H221" s="32">
        <f>IF(AND(ISNUMBER(F221),ISNUMBER(G221)),G221-F221,"")</f>
        <v/>
      </c>
      <c r="I221" s="16">
        <f>IF(COUNTBLANK(G221)=1,"Não executado",IF(ISNUMBER(F221)&lt;&gt;ISNUMBER(G221),"Tipo incompatível",IF(IF(E221="&lt;&gt;",G221&lt;&gt;F221,G221=F221),IF(OR(J221="",K221="",NOT(ISNUMBER(L221)),L221&lt;=0),"Evidência pendente","Compatível"),"Divergente")))</f>
        <v/>
      </c>
      <c r="J221" s="12" t="str"/>
      <c r="K221" s="12" t="str"/>
      <c r="L221" s="28" t="n"/>
      <c r="M221" s="16" t="str"/>
      <c r="N221" s="16" t="str"/>
      <c r="O221" s="16" t="str"/>
      <c r="P221" s="16" t="str"/>
      <c r="Q221" s="16" t="str"/>
    </row>
    <row r="222" ht="42" customHeight="1">
      <c r="A222" s="16" t="inlineStr">
        <is>
          <t>CT18</t>
        </is>
      </c>
      <c r="B222" s="16" t="inlineStr">
        <is>
          <t>states[B].Q_cents</t>
        </is>
      </c>
      <c r="C222" s="16" t="inlineStr">
        <is>
          <t>§7.1, §7.2, I05, I10, I11, I12</t>
        </is>
      </c>
      <c r="D222" s="16" t="inlineStr">
        <is>
          <t>centavos BRL</t>
        </is>
      </c>
      <c r="E222" s="16" t="inlineStr">
        <is>
          <t>=</t>
        </is>
      </c>
      <c r="F222" s="32" t="n">
        <v>10000000</v>
      </c>
      <c r="G222" s="33" t="n"/>
      <c r="H222" s="32">
        <f>IF(AND(ISNUMBER(F222),ISNUMBER(G222)),G222-F222,"")</f>
        <v/>
      </c>
      <c r="I222" s="16">
        <f>IF(COUNTBLANK(G222)=1,"Não executado",IF(ISNUMBER(F222)&lt;&gt;ISNUMBER(G222),"Tipo incompatível",IF(IF(E222="&lt;&gt;",G222&lt;&gt;F222,G222=F222),IF(OR(J222="",K222="",NOT(ISNUMBER(L222)),L222&lt;=0),"Evidência pendente","Compatível"),"Divergente")))</f>
        <v/>
      </c>
      <c r="J222" s="12" t="str"/>
      <c r="K222" s="12" t="str"/>
      <c r="L222" s="28" t="n"/>
      <c r="M222" s="16" t="str"/>
      <c r="N222" s="16" t="str"/>
      <c r="O222" s="16" t="str"/>
      <c r="P222" s="16" t="str"/>
      <c r="Q222" s="16" t="str"/>
    </row>
    <row r="223" ht="42" customHeight="1">
      <c r="A223" s="16" t="inlineStr">
        <is>
          <t>CT18</t>
        </is>
      </c>
      <c r="B223" s="16" t="inlineStr">
        <is>
          <t>states[B].AF_cents</t>
        </is>
      </c>
      <c r="C223" s="16" t="inlineStr">
        <is>
          <t>§7.1, §7.2, I05, I10, I11, I12</t>
        </is>
      </c>
      <c r="D223" s="16" t="inlineStr">
        <is>
          <t>centavos BRL</t>
        </is>
      </c>
      <c r="E223" s="16" t="inlineStr">
        <is>
          <t>=</t>
        </is>
      </c>
      <c r="F223" s="32" t="n">
        <v>0</v>
      </c>
      <c r="G223" s="33" t="n"/>
      <c r="H223" s="32">
        <f>IF(AND(ISNUMBER(F223),ISNUMBER(G223)),G223-F223,"")</f>
        <v/>
      </c>
      <c r="I223" s="16">
        <f>IF(COUNTBLANK(G223)=1,"Não executado",IF(ISNUMBER(F223)&lt;&gt;ISNUMBER(G223),"Tipo incompatível",IF(IF(E223="&lt;&gt;",G223&lt;&gt;F223,G223=F223),IF(OR(J223="",K223="",NOT(ISNUMBER(L223)),L223&lt;=0),"Evidência pendente","Compatível"),"Divergente")))</f>
        <v/>
      </c>
      <c r="J223" s="12" t="str"/>
      <c r="K223" s="12" t="str"/>
      <c r="L223" s="28" t="n"/>
      <c r="M223" s="16" t="str"/>
      <c r="N223" s="16" t="str"/>
      <c r="O223" s="16" t="str"/>
      <c r="P223" s="16" t="str"/>
      <c r="Q223" s="16" t="str"/>
    </row>
    <row r="224" ht="42" customHeight="1">
      <c r="A224" s="16" t="inlineStr">
        <is>
          <t>CT18</t>
        </is>
      </c>
      <c r="B224" s="16" t="inlineStr">
        <is>
          <t>states[C].R_cents</t>
        </is>
      </c>
      <c r="C224" s="16" t="inlineStr">
        <is>
          <t>§7.1, §7.2, I05, I10, I11, I12</t>
        </is>
      </c>
      <c r="D224" s="16" t="inlineStr">
        <is>
          <t>centavos BRL</t>
        </is>
      </c>
      <c r="E224" s="16" t="inlineStr">
        <is>
          <t>=</t>
        </is>
      </c>
      <c r="F224" s="32" t="n">
        <v>2000000</v>
      </c>
      <c r="G224" s="33" t="n"/>
      <c r="H224" s="32">
        <f>IF(AND(ISNUMBER(F224),ISNUMBER(G224)),G224-F224,"")</f>
        <v/>
      </c>
      <c r="I224" s="16">
        <f>IF(COUNTBLANK(G224)=1,"Não executado",IF(ISNUMBER(F224)&lt;&gt;ISNUMBER(G224),"Tipo incompatível",IF(IF(E224="&lt;&gt;",G224&lt;&gt;F224,G224=F224),IF(OR(J224="",K224="",NOT(ISNUMBER(L224)),L224&lt;=0),"Evidência pendente","Compatível"),"Divergente")))</f>
        <v/>
      </c>
      <c r="J224" s="12" t="str"/>
      <c r="K224" s="12" t="str"/>
      <c r="L224" s="28" t="n"/>
      <c r="M224" s="16" t="str"/>
      <c r="N224" s="16" t="str"/>
      <c r="O224" s="16" t="str"/>
      <c r="P224" s="16" t="str"/>
      <c r="Q224" s="16" t="str"/>
    </row>
    <row r="225" ht="42" customHeight="1">
      <c r="A225" s="16" t="inlineStr">
        <is>
          <t>CT18</t>
        </is>
      </c>
      <c r="B225" s="16" t="inlineStr">
        <is>
          <t>states[C].C_cents</t>
        </is>
      </c>
      <c r="C225" s="16" t="inlineStr">
        <is>
          <t>§7.1, §7.2, I05, I10, I11, I12</t>
        </is>
      </c>
      <c r="D225" s="16" t="inlineStr">
        <is>
          <t>centavos BRL</t>
        </is>
      </c>
      <c r="E225" s="16" t="inlineStr">
        <is>
          <t>=</t>
        </is>
      </c>
      <c r="F225" s="32" t="n">
        <v>4000000</v>
      </c>
      <c r="G225" s="33" t="n"/>
      <c r="H225" s="32">
        <f>IF(AND(ISNUMBER(F225),ISNUMBER(G225)),G225-F225,"")</f>
        <v/>
      </c>
      <c r="I225" s="16">
        <f>IF(COUNTBLANK(G225)=1,"Não executado",IF(ISNUMBER(F225)&lt;&gt;ISNUMBER(G225),"Tipo incompatível",IF(IF(E225="&lt;&gt;",G225&lt;&gt;F225,G225=F225),IF(OR(J225="",K225="",NOT(ISNUMBER(L225)),L225&lt;=0),"Evidência pendente","Compatível"),"Divergente")))</f>
        <v/>
      </c>
      <c r="J225" s="12" t="str"/>
      <c r="K225" s="12" t="str"/>
      <c r="L225" s="28" t="n"/>
      <c r="M225" s="16" t="str"/>
      <c r="N225" s="16" t="str"/>
      <c r="O225" s="16" t="str"/>
      <c r="P225" s="16" t="str"/>
      <c r="Q225" s="16" t="str"/>
    </row>
    <row r="226" ht="42" customHeight="1">
      <c r="A226" s="16" t="inlineStr">
        <is>
          <t>CT18</t>
        </is>
      </c>
      <c r="B226" s="16" t="inlineStr">
        <is>
          <t>states[C].P_cents</t>
        </is>
      </c>
      <c r="C226" s="16" t="inlineStr">
        <is>
          <t>§7.1, §7.2, I05, I10, I11, I12</t>
        </is>
      </c>
      <c r="D226" s="16" t="inlineStr">
        <is>
          <t>centavos BRL</t>
        </is>
      </c>
      <c r="E226" s="16" t="inlineStr">
        <is>
          <t>=</t>
        </is>
      </c>
      <c r="F226" s="32" t="n">
        <v>4000000</v>
      </c>
      <c r="G226" s="33" t="n"/>
      <c r="H226" s="32">
        <f>IF(AND(ISNUMBER(F226),ISNUMBER(G226)),G226-F226,"")</f>
        <v/>
      </c>
      <c r="I226" s="16">
        <f>IF(COUNTBLANK(G226)=1,"Não executado",IF(ISNUMBER(F226)&lt;&gt;ISNUMBER(G226),"Tipo incompatível",IF(IF(E226="&lt;&gt;",G226&lt;&gt;F226,G226=F226),IF(OR(J226="",K226="",NOT(ISNUMBER(L226)),L226&lt;=0),"Evidência pendente","Compatível"),"Divergente")))</f>
        <v/>
      </c>
      <c r="J226" s="12" t="str"/>
      <c r="K226" s="12" t="str"/>
      <c r="L226" s="28" t="n"/>
      <c r="M226" s="16" t="str"/>
      <c r="N226" s="16" t="str"/>
      <c r="O226" s="16" t="str"/>
      <c r="P226" s="16" t="str"/>
      <c r="Q226" s="16" t="str"/>
    </row>
    <row r="227" ht="42" customHeight="1">
      <c r="A227" s="16" t="inlineStr">
        <is>
          <t>CT18</t>
        </is>
      </c>
      <c r="B227" s="16" t="inlineStr">
        <is>
          <t>states[C].Q_cents</t>
        </is>
      </c>
      <c r="C227" s="16" t="inlineStr">
        <is>
          <t>§7.1, §7.2, I05, I10, I11, I12</t>
        </is>
      </c>
      <c r="D227" s="16" t="inlineStr">
        <is>
          <t>centavos BRL</t>
        </is>
      </c>
      <c r="E227" s="16" t="inlineStr">
        <is>
          <t>=</t>
        </is>
      </c>
      <c r="F227" s="32" t="n">
        <v>10000000</v>
      </c>
      <c r="G227" s="33" t="n"/>
      <c r="H227" s="32">
        <f>IF(AND(ISNUMBER(F227),ISNUMBER(G227)),G227-F227,"")</f>
        <v/>
      </c>
      <c r="I227" s="16">
        <f>IF(COUNTBLANK(G227)=1,"Não executado",IF(ISNUMBER(F227)&lt;&gt;ISNUMBER(G227),"Tipo incompatível",IF(IF(E227="&lt;&gt;",G227&lt;&gt;F227,G227=F227),IF(OR(J227="",K227="",NOT(ISNUMBER(L227)),L227&lt;=0),"Evidência pendente","Compatível"),"Divergente")))</f>
        <v/>
      </c>
      <c r="J227" s="12" t="str"/>
      <c r="K227" s="12" t="str"/>
      <c r="L227" s="28" t="n"/>
      <c r="M227" s="16" t="str"/>
      <c r="N227" s="16" t="str"/>
      <c r="O227" s="16" t="str"/>
      <c r="P227" s="16" t="str"/>
      <c r="Q227" s="16" t="str"/>
    </row>
    <row r="228" ht="42" customHeight="1">
      <c r="A228" s="16" t="inlineStr">
        <is>
          <t>CT18</t>
        </is>
      </c>
      <c r="B228" s="16" t="inlineStr">
        <is>
          <t>states[C].AF_cents</t>
        </is>
      </c>
      <c r="C228" s="16" t="inlineStr">
        <is>
          <t>§7.1, §7.2, I05, I10, I11, I12</t>
        </is>
      </c>
      <c r="D228" s="16" t="inlineStr">
        <is>
          <t>centavos BRL</t>
        </is>
      </c>
      <c r="E228" s="16" t="inlineStr">
        <is>
          <t>=</t>
        </is>
      </c>
      <c r="F228" s="32" t="n">
        <v>0</v>
      </c>
      <c r="G228" s="33" t="n"/>
      <c r="H228" s="32">
        <f>IF(AND(ISNUMBER(F228),ISNUMBER(G228)),G228-F228,"")</f>
        <v/>
      </c>
      <c r="I228" s="16">
        <f>IF(COUNTBLANK(G228)=1,"Não executado",IF(ISNUMBER(F228)&lt;&gt;ISNUMBER(G228),"Tipo incompatível",IF(IF(E228="&lt;&gt;",G228&lt;&gt;F228,G228=F228),IF(OR(J228="",K228="",NOT(ISNUMBER(L228)),L228&lt;=0),"Evidência pendente","Compatível"),"Divergente")))</f>
        <v/>
      </c>
      <c r="J228" s="12" t="str"/>
      <c r="K228" s="12" t="str"/>
      <c r="L228" s="28" t="n"/>
      <c r="M228" s="16" t="str"/>
      <c r="N228" s="16" t="str"/>
      <c r="O228" s="16" t="str"/>
      <c r="P228" s="16" t="str"/>
      <c r="Q228" s="16" t="str"/>
    </row>
    <row r="229" ht="42" customHeight="1">
      <c r="A229" s="16" t="inlineStr">
        <is>
          <t>CT18</t>
        </is>
      </c>
      <c r="B229" s="16" t="inlineStr">
        <is>
          <t>states[D].R_cents</t>
        </is>
      </c>
      <c r="C229" s="16" t="inlineStr">
        <is>
          <t>§7.1, §7.2, I05, I10, I11, I12</t>
        </is>
      </c>
      <c r="D229" s="16" t="inlineStr">
        <is>
          <t>centavos BRL</t>
        </is>
      </c>
      <c r="E229" s="16" t="inlineStr">
        <is>
          <t>=</t>
        </is>
      </c>
      <c r="F229" s="32" t="n">
        <v>1500000</v>
      </c>
      <c r="G229" s="33" t="n"/>
      <c r="H229" s="32">
        <f>IF(AND(ISNUMBER(F229),ISNUMBER(G229)),G229-F229,"")</f>
        <v/>
      </c>
      <c r="I229" s="16">
        <f>IF(COUNTBLANK(G229)=1,"Não executado",IF(ISNUMBER(F229)&lt;&gt;ISNUMBER(G229),"Tipo incompatível",IF(IF(E229="&lt;&gt;",G229&lt;&gt;F229,G229=F229),IF(OR(J229="",K229="",NOT(ISNUMBER(L229)),L229&lt;=0),"Evidência pendente","Compatível"),"Divergente")))</f>
        <v/>
      </c>
      <c r="J229" s="12" t="str"/>
      <c r="K229" s="12" t="str"/>
      <c r="L229" s="28" t="n"/>
      <c r="M229" s="16" t="str"/>
      <c r="N229" s="16" t="str"/>
      <c r="O229" s="16" t="str"/>
      <c r="P229" s="16" t="str"/>
      <c r="Q229" s="16" t="str"/>
    </row>
    <row r="230" ht="42" customHeight="1">
      <c r="A230" s="16" t="inlineStr">
        <is>
          <t>CT18</t>
        </is>
      </c>
      <c r="B230" s="16" t="inlineStr">
        <is>
          <t>states[D].C_cents</t>
        </is>
      </c>
      <c r="C230" s="16" t="inlineStr">
        <is>
          <t>§7.1, §7.2, I05, I10, I11, I12</t>
        </is>
      </c>
      <c r="D230" s="16" t="inlineStr">
        <is>
          <t>centavos BRL</t>
        </is>
      </c>
      <c r="E230" s="16" t="inlineStr">
        <is>
          <t>=</t>
        </is>
      </c>
      <c r="F230" s="32" t="n">
        <v>4000000</v>
      </c>
      <c r="G230" s="33" t="n"/>
      <c r="H230" s="32">
        <f>IF(AND(ISNUMBER(F230),ISNUMBER(G230)),G230-F230,"")</f>
        <v/>
      </c>
      <c r="I230" s="16">
        <f>IF(COUNTBLANK(G230)=1,"Não executado",IF(ISNUMBER(F230)&lt;&gt;ISNUMBER(G230),"Tipo incompatível",IF(IF(E230="&lt;&gt;",G230&lt;&gt;F230,G230=F230),IF(OR(J230="",K230="",NOT(ISNUMBER(L230)),L230&lt;=0),"Evidência pendente","Compatível"),"Divergente")))</f>
        <v/>
      </c>
      <c r="J230" s="12" t="str"/>
      <c r="K230" s="12" t="str"/>
      <c r="L230" s="28" t="n"/>
      <c r="M230" s="16" t="str"/>
      <c r="N230" s="16" t="str"/>
      <c r="O230" s="16" t="str"/>
      <c r="P230" s="16" t="str"/>
      <c r="Q230" s="16" t="str"/>
    </row>
    <row r="231" ht="42" customHeight="1">
      <c r="A231" s="16" t="inlineStr">
        <is>
          <t>CT18</t>
        </is>
      </c>
      <c r="B231" s="16" t="inlineStr">
        <is>
          <t>states[D].P_cents</t>
        </is>
      </c>
      <c r="C231" s="16" t="inlineStr">
        <is>
          <t>§7.1, §7.2, I05, I10, I11, I12</t>
        </is>
      </c>
      <c r="D231" s="16" t="inlineStr">
        <is>
          <t>centavos BRL</t>
        </is>
      </c>
      <c r="E231" s="16" t="inlineStr">
        <is>
          <t>=</t>
        </is>
      </c>
      <c r="F231" s="32" t="n">
        <v>4000000</v>
      </c>
      <c r="G231" s="33" t="n"/>
      <c r="H231" s="32">
        <f>IF(AND(ISNUMBER(F231),ISNUMBER(G231)),G231-F231,"")</f>
        <v/>
      </c>
      <c r="I231" s="16">
        <f>IF(COUNTBLANK(G231)=1,"Não executado",IF(ISNUMBER(F231)&lt;&gt;ISNUMBER(G231),"Tipo incompatível",IF(IF(E231="&lt;&gt;",G231&lt;&gt;F231,G231=F231),IF(OR(J231="",K231="",NOT(ISNUMBER(L231)),L231&lt;=0),"Evidência pendente","Compatível"),"Divergente")))</f>
        <v/>
      </c>
      <c r="J231" s="12" t="str"/>
      <c r="K231" s="12" t="str"/>
      <c r="L231" s="28" t="n"/>
      <c r="M231" s="16" t="str"/>
      <c r="N231" s="16" t="str"/>
      <c r="O231" s="16" t="str"/>
      <c r="P231" s="16" t="str"/>
      <c r="Q231" s="16" t="str"/>
    </row>
    <row r="232" ht="42" customHeight="1">
      <c r="A232" s="16" t="inlineStr">
        <is>
          <t>CT18</t>
        </is>
      </c>
      <c r="B232" s="16" t="inlineStr">
        <is>
          <t>states[D].Q_cents</t>
        </is>
      </c>
      <c r="C232" s="16" t="inlineStr">
        <is>
          <t>§7.1, §7.2, I05, I10, I11, I12</t>
        </is>
      </c>
      <c r="D232" s="16" t="inlineStr">
        <is>
          <t>centavos BRL</t>
        </is>
      </c>
      <c r="E232" s="16" t="inlineStr">
        <is>
          <t>=</t>
        </is>
      </c>
      <c r="F232" s="32" t="n">
        <v>9500000</v>
      </c>
      <c r="G232" s="33" t="n"/>
      <c r="H232" s="32">
        <f>IF(AND(ISNUMBER(F232),ISNUMBER(G232)),G232-F232,"")</f>
        <v/>
      </c>
      <c r="I232" s="16">
        <f>IF(COUNTBLANK(G232)=1,"Não executado",IF(ISNUMBER(F232)&lt;&gt;ISNUMBER(G232),"Tipo incompatível",IF(IF(E232="&lt;&gt;",G232&lt;&gt;F232,G232=F232),IF(OR(J232="",K232="",NOT(ISNUMBER(L232)),L232&lt;=0),"Evidência pendente","Compatível"),"Divergente")))</f>
        <v/>
      </c>
      <c r="J232" s="12" t="str"/>
      <c r="K232" s="12" t="str"/>
      <c r="L232" s="28" t="n"/>
      <c r="M232" s="16" t="str"/>
      <c r="N232" s="16" t="str"/>
      <c r="O232" s="16" t="str"/>
      <c r="P232" s="16" t="str"/>
      <c r="Q232" s="16" t="str"/>
    </row>
    <row r="233" ht="42" customHeight="1">
      <c r="A233" s="16" t="inlineStr">
        <is>
          <t>CT18</t>
        </is>
      </c>
      <c r="B233" s="16" t="inlineStr">
        <is>
          <t>states[D].AF_cents</t>
        </is>
      </c>
      <c r="C233" s="16" t="inlineStr">
        <is>
          <t>§7.1, §7.2, I05, I10, I11, I12</t>
        </is>
      </c>
      <c r="D233" s="16" t="inlineStr">
        <is>
          <t>centavos BRL</t>
        </is>
      </c>
      <c r="E233" s="16" t="inlineStr">
        <is>
          <t>=</t>
        </is>
      </c>
      <c r="F233" s="32" t="n">
        <v>0</v>
      </c>
      <c r="G233" s="33" t="n"/>
      <c r="H233" s="32">
        <f>IF(AND(ISNUMBER(F233),ISNUMBER(G233)),G233-F233,"")</f>
        <v/>
      </c>
      <c r="I233" s="16">
        <f>IF(COUNTBLANK(G233)=1,"Não executado",IF(ISNUMBER(F233)&lt;&gt;ISNUMBER(G233),"Tipo incompatível",IF(IF(E233="&lt;&gt;",G233&lt;&gt;F233,G233=F233),IF(OR(J233="",K233="",NOT(ISNUMBER(L233)),L233&lt;=0),"Evidência pendente","Compatível"),"Divergente")))</f>
        <v/>
      </c>
      <c r="J233" s="12" t="str"/>
      <c r="K233" s="12" t="str"/>
      <c r="L233" s="28" t="n"/>
      <c r="M233" s="16" t="str"/>
      <c r="N233" s="16" t="str"/>
      <c r="O233" s="16" t="str"/>
      <c r="P233" s="16" t="str"/>
      <c r="Q233" s="16" t="str"/>
    </row>
    <row r="234" ht="42" customHeight="1">
      <c r="A234" s="16" t="inlineStr">
        <is>
          <t>CT18</t>
        </is>
      </c>
      <c r="B234" s="16" t="inlineStr">
        <is>
          <t>states[E].R_cents</t>
        </is>
      </c>
      <c r="C234" s="16" t="inlineStr">
        <is>
          <t>§7.1, §7.2, I05, I10, I11, I12</t>
        </is>
      </c>
      <c r="D234" s="16" t="inlineStr">
        <is>
          <t>centavos BRL</t>
        </is>
      </c>
      <c r="E234" s="16" t="inlineStr">
        <is>
          <t>=</t>
        </is>
      </c>
      <c r="F234" s="32" t="n">
        <v>1500000</v>
      </c>
      <c r="G234" s="33" t="n"/>
      <c r="H234" s="32">
        <f>IF(AND(ISNUMBER(F234),ISNUMBER(G234)),G234-F234,"")</f>
        <v/>
      </c>
      <c r="I234" s="16">
        <f>IF(COUNTBLANK(G234)=1,"Não executado",IF(ISNUMBER(F234)&lt;&gt;ISNUMBER(G234),"Tipo incompatível",IF(IF(E234="&lt;&gt;",G234&lt;&gt;F234,G234=F234),IF(OR(J234="",K234="",NOT(ISNUMBER(L234)),L234&lt;=0),"Evidência pendente","Compatível"),"Divergente")))</f>
        <v/>
      </c>
      <c r="J234" s="12" t="str"/>
      <c r="K234" s="12" t="str"/>
      <c r="L234" s="28" t="n"/>
      <c r="M234" s="16" t="str"/>
      <c r="N234" s="16" t="str"/>
      <c r="O234" s="16" t="str"/>
      <c r="P234" s="16" t="str"/>
      <c r="Q234" s="16" t="str"/>
    </row>
    <row r="235" ht="42" customHeight="1">
      <c r="A235" s="16" t="inlineStr">
        <is>
          <t>CT18</t>
        </is>
      </c>
      <c r="B235" s="16" t="inlineStr">
        <is>
          <t>states[E].C_cents</t>
        </is>
      </c>
      <c r="C235" s="16" t="inlineStr">
        <is>
          <t>§7.1, §7.2, I05, I10, I11, I12</t>
        </is>
      </c>
      <c r="D235" s="16" t="inlineStr">
        <is>
          <t>centavos BRL</t>
        </is>
      </c>
      <c r="E235" s="16" t="inlineStr">
        <is>
          <t>=</t>
        </is>
      </c>
      <c r="F235" s="32" t="n">
        <v>4000000</v>
      </c>
      <c r="G235" s="33" t="n"/>
      <c r="H235" s="32">
        <f>IF(AND(ISNUMBER(F235),ISNUMBER(G235)),G235-F235,"")</f>
        <v/>
      </c>
      <c r="I235" s="16">
        <f>IF(COUNTBLANK(G235)=1,"Não executado",IF(ISNUMBER(F235)&lt;&gt;ISNUMBER(G235),"Tipo incompatível",IF(IF(E235="&lt;&gt;",G235&lt;&gt;F235,G235=F235),IF(OR(J235="",K235="",NOT(ISNUMBER(L235)),L235&lt;=0),"Evidência pendente","Compatível"),"Divergente")))</f>
        <v/>
      </c>
      <c r="J235" s="12" t="str"/>
      <c r="K235" s="12" t="str"/>
      <c r="L235" s="28" t="n"/>
      <c r="M235" s="16" t="str"/>
      <c r="N235" s="16" t="str"/>
      <c r="O235" s="16" t="str"/>
      <c r="P235" s="16" t="str"/>
      <c r="Q235" s="16" t="str"/>
    </row>
    <row r="236" ht="42" customHeight="1">
      <c r="A236" s="16" t="inlineStr">
        <is>
          <t>CT18</t>
        </is>
      </c>
      <c r="B236" s="16" t="inlineStr">
        <is>
          <t>states[E].P_cents</t>
        </is>
      </c>
      <c r="C236" s="16" t="inlineStr">
        <is>
          <t>§7.1, §7.2, I05, I10, I11, I12</t>
        </is>
      </c>
      <c r="D236" s="16" t="inlineStr">
        <is>
          <t>centavos BRL</t>
        </is>
      </c>
      <c r="E236" s="16" t="inlineStr">
        <is>
          <t>=</t>
        </is>
      </c>
      <c r="F236" s="32" t="n">
        <v>4000000</v>
      </c>
      <c r="G236" s="33" t="n"/>
      <c r="H236" s="32">
        <f>IF(AND(ISNUMBER(F236),ISNUMBER(G236)),G236-F236,"")</f>
        <v/>
      </c>
      <c r="I236" s="16">
        <f>IF(COUNTBLANK(G236)=1,"Não executado",IF(ISNUMBER(F236)&lt;&gt;ISNUMBER(G236),"Tipo incompatível",IF(IF(E236="&lt;&gt;",G236&lt;&gt;F236,G236=F236),IF(OR(J236="",K236="",NOT(ISNUMBER(L236)),L236&lt;=0),"Evidência pendente","Compatível"),"Divergente")))</f>
        <v/>
      </c>
      <c r="J236" s="12" t="str"/>
      <c r="K236" s="12" t="str"/>
      <c r="L236" s="28" t="n"/>
      <c r="M236" s="16" t="str"/>
      <c r="N236" s="16" t="str"/>
      <c r="O236" s="16" t="str"/>
      <c r="P236" s="16" t="str"/>
      <c r="Q236" s="16" t="str"/>
    </row>
    <row r="237" ht="42" customHeight="1">
      <c r="A237" s="16" t="inlineStr">
        <is>
          <t>CT18</t>
        </is>
      </c>
      <c r="B237" s="16" t="inlineStr">
        <is>
          <t>states[E].Q_cents</t>
        </is>
      </c>
      <c r="C237" s="16" t="inlineStr">
        <is>
          <t>§7.1, §7.2, I05, I10, I11, I12</t>
        </is>
      </c>
      <c r="D237" s="16" t="inlineStr">
        <is>
          <t>centavos BRL</t>
        </is>
      </c>
      <c r="E237" s="16" t="inlineStr">
        <is>
          <t>=</t>
        </is>
      </c>
      <c r="F237" s="32" t="n">
        <v>9500000</v>
      </c>
      <c r="G237" s="33" t="n"/>
      <c r="H237" s="32">
        <f>IF(AND(ISNUMBER(F237),ISNUMBER(G237)),G237-F237,"")</f>
        <v/>
      </c>
      <c r="I237" s="16">
        <f>IF(COUNTBLANK(G237)=1,"Não executado",IF(ISNUMBER(F237)&lt;&gt;ISNUMBER(G237),"Tipo incompatível",IF(IF(E237="&lt;&gt;",G237&lt;&gt;F237,G237=F237),IF(OR(J237="",K237="",NOT(ISNUMBER(L237)),L237&lt;=0),"Evidência pendente","Compatível"),"Divergente")))</f>
        <v/>
      </c>
      <c r="J237" s="12" t="str"/>
      <c r="K237" s="12" t="str"/>
      <c r="L237" s="28" t="n"/>
      <c r="M237" s="16" t="str"/>
      <c r="N237" s="16" t="str"/>
      <c r="O237" s="16" t="str"/>
      <c r="P237" s="16" t="str"/>
      <c r="Q237" s="16" t="str"/>
    </row>
    <row r="238" ht="42" customHeight="1">
      <c r="A238" s="16" t="inlineStr">
        <is>
          <t>CT18</t>
        </is>
      </c>
      <c r="B238" s="16" t="inlineStr">
        <is>
          <t>states[E].AF_cents</t>
        </is>
      </c>
      <c r="C238" s="16" t="inlineStr">
        <is>
          <t>§7.1, §7.2, I05, I10, I11, I12</t>
        </is>
      </c>
      <c r="D238" s="16" t="inlineStr">
        <is>
          <t>centavos BRL</t>
        </is>
      </c>
      <c r="E238" s="16" t="inlineStr">
        <is>
          <t>=</t>
        </is>
      </c>
      <c r="F238" s="32" t="n">
        <v>200000</v>
      </c>
      <c r="G238" s="33" t="n"/>
      <c r="H238" s="32">
        <f>IF(AND(ISNUMBER(F238),ISNUMBER(G238)),G238-F238,"")</f>
        <v/>
      </c>
      <c r="I238" s="16">
        <f>IF(COUNTBLANK(G238)=1,"Não executado",IF(ISNUMBER(F238)&lt;&gt;ISNUMBER(G238),"Tipo incompatível",IF(IF(E238="&lt;&gt;",G238&lt;&gt;F238,G238=F238),IF(OR(J238="",K238="",NOT(ISNUMBER(L238)),L238&lt;=0),"Evidência pendente","Compatível"),"Divergente")))</f>
        <v/>
      </c>
      <c r="J238" s="12" t="str"/>
      <c r="K238" s="12" t="str"/>
      <c r="L238" s="28" t="n"/>
      <c r="M238" s="16" t="str"/>
      <c r="N238" s="16" t="str"/>
      <c r="O238" s="16" t="str"/>
      <c r="P238" s="16" t="str"/>
      <c r="Q238" s="16" t="str"/>
    </row>
    <row r="239" ht="42" customHeight="1">
      <c r="A239" s="16" t="inlineStr">
        <is>
          <t>CT18</t>
        </is>
      </c>
      <c r="B239" s="16" t="inlineStr">
        <is>
          <t>states[E].Q_scenario_cents</t>
        </is>
      </c>
      <c r="C239" s="16" t="inlineStr">
        <is>
          <t>§7.1, §7.2, I05, I10, I11, I12</t>
        </is>
      </c>
      <c r="D239" s="16" t="inlineStr">
        <is>
          <t>centavos BRL</t>
        </is>
      </c>
      <c r="E239" s="16" t="inlineStr">
        <is>
          <t>=</t>
        </is>
      </c>
      <c r="F239" s="32" t="n">
        <v>9700000</v>
      </c>
      <c r="G239" s="33" t="n"/>
      <c r="H239" s="32">
        <f>IF(AND(ISNUMBER(F239),ISNUMBER(G239)),G239-F239,"")</f>
        <v/>
      </c>
      <c r="I239" s="16">
        <f>IF(COUNTBLANK(G239)=1,"Não executado",IF(ISNUMBER(F239)&lt;&gt;ISNUMBER(G239),"Tipo incompatível",IF(IF(E239="&lt;&gt;",G239&lt;&gt;F239,G239=F239),IF(OR(J239="",K239="",NOT(ISNUMBER(L239)),L239&lt;=0),"Evidência pendente","Compatível"),"Divergente")))</f>
        <v/>
      </c>
      <c r="J239" s="12" t="str"/>
      <c r="K239" s="12" t="str"/>
      <c r="L239" s="28" t="n"/>
      <c r="M239" s="16" t="str"/>
      <c r="N239" s="16" t="str"/>
      <c r="O239" s="16" t="str"/>
      <c r="P239" s="16" t="str"/>
      <c r="Q239" s="16" t="str"/>
    </row>
    <row r="240" ht="42" customHeight="1">
      <c r="A240" s="16" t="inlineStr">
        <is>
          <t>CT18</t>
        </is>
      </c>
      <c r="B240" s="16" t="inlineStr">
        <is>
          <t>states[F].R_cents</t>
        </is>
      </c>
      <c r="C240" s="16" t="inlineStr">
        <is>
          <t>§7.1, §7.2, I05, I10, I11, I12</t>
        </is>
      </c>
      <c r="D240" s="16" t="inlineStr">
        <is>
          <t>centavos BRL</t>
        </is>
      </c>
      <c r="E240" s="16" t="inlineStr">
        <is>
          <t>=</t>
        </is>
      </c>
      <c r="F240" s="32" t="n">
        <v>1700000</v>
      </c>
      <c r="G240" s="33" t="n"/>
      <c r="H240" s="32">
        <f>IF(AND(ISNUMBER(F240),ISNUMBER(G240)),G240-F240,"")</f>
        <v/>
      </c>
      <c r="I240" s="16">
        <f>IF(COUNTBLANK(G240)=1,"Não executado",IF(ISNUMBER(F240)&lt;&gt;ISNUMBER(G240),"Tipo incompatível",IF(IF(E240="&lt;&gt;",G240&lt;&gt;F240,G240=F240),IF(OR(J240="",K240="",NOT(ISNUMBER(L240)),L240&lt;=0),"Evidência pendente","Compatível"),"Divergente")))</f>
        <v/>
      </c>
      <c r="J240" s="12" t="str"/>
      <c r="K240" s="12" t="str"/>
      <c r="L240" s="28" t="n"/>
      <c r="M240" s="16" t="str"/>
      <c r="N240" s="16" t="str"/>
      <c r="O240" s="16" t="str"/>
      <c r="P240" s="16" t="str"/>
      <c r="Q240" s="16" t="str"/>
    </row>
    <row r="241" ht="42" customHeight="1">
      <c r="A241" s="16" t="inlineStr">
        <is>
          <t>CT18</t>
        </is>
      </c>
      <c r="B241" s="16" t="inlineStr">
        <is>
          <t>states[F].C_cents</t>
        </is>
      </c>
      <c r="C241" s="16" t="inlineStr">
        <is>
          <t>§7.1, §7.2, I05, I10, I11, I12</t>
        </is>
      </c>
      <c r="D241" s="16" t="inlineStr">
        <is>
          <t>centavos BRL</t>
        </is>
      </c>
      <c r="E241" s="16" t="inlineStr">
        <is>
          <t>=</t>
        </is>
      </c>
      <c r="F241" s="32" t="n">
        <v>4000000</v>
      </c>
      <c r="G241" s="33" t="n"/>
      <c r="H241" s="32">
        <f>IF(AND(ISNUMBER(F241),ISNUMBER(G241)),G241-F241,"")</f>
        <v/>
      </c>
      <c r="I241" s="16">
        <f>IF(COUNTBLANK(G241)=1,"Não executado",IF(ISNUMBER(F241)&lt;&gt;ISNUMBER(G241),"Tipo incompatível",IF(IF(E241="&lt;&gt;",G241&lt;&gt;F241,G241=F241),IF(OR(J241="",K241="",NOT(ISNUMBER(L241)),L241&lt;=0),"Evidência pendente","Compatível"),"Divergente")))</f>
        <v/>
      </c>
      <c r="J241" s="12" t="str"/>
      <c r="K241" s="12" t="str"/>
      <c r="L241" s="28" t="n"/>
      <c r="M241" s="16" t="str"/>
      <c r="N241" s="16" t="str"/>
      <c r="O241" s="16" t="str"/>
      <c r="P241" s="16" t="str"/>
      <c r="Q241" s="16" t="str"/>
    </row>
    <row r="242" ht="42" customHeight="1">
      <c r="A242" s="16" t="inlineStr">
        <is>
          <t>CT18</t>
        </is>
      </c>
      <c r="B242" s="16" t="inlineStr">
        <is>
          <t>states[F].P_cents</t>
        </is>
      </c>
      <c r="C242" s="16" t="inlineStr">
        <is>
          <t>§7.1, §7.2, I05, I10, I11, I12</t>
        </is>
      </c>
      <c r="D242" s="16" t="inlineStr">
        <is>
          <t>centavos BRL</t>
        </is>
      </c>
      <c r="E242" s="16" t="inlineStr">
        <is>
          <t>=</t>
        </is>
      </c>
      <c r="F242" s="32" t="n">
        <v>4000000</v>
      </c>
      <c r="G242" s="33" t="n"/>
      <c r="H242" s="32">
        <f>IF(AND(ISNUMBER(F242),ISNUMBER(G242)),G242-F242,"")</f>
        <v/>
      </c>
      <c r="I242" s="16">
        <f>IF(COUNTBLANK(G242)=1,"Não executado",IF(ISNUMBER(F242)&lt;&gt;ISNUMBER(G242),"Tipo incompatível",IF(IF(E242="&lt;&gt;",G242&lt;&gt;F242,G242=F242),IF(OR(J242="",K242="",NOT(ISNUMBER(L242)),L242&lt;=0),"Evidência pendente","Compatível"),"Divergente")))</f>
        <v/>
      </c>
      <c r="J242" s="12" t="str"/>
      <c r="K242" s="12" t="str"/>
      <c r="L242" s="28" t="n"/>
      <c r="M242" s="16" t="str"/>
      <c r="N242" s="16" t="str"/>
      <c r="O242" s="16" t="str"/>
      <c r="P242" s="16" t="str"/>
      <c r="Q242" s="16" t="str"/>
    </row>
    <row r="243" ht="42" customHeight="1">
      <c r="A243" s="16" t="inlineStr">
        <is>
          <t>CT18</t>
        </is>
      </c>
      <c r="B243" s="16" t="inlineStr">
        <is>
          <t>states[F].Q_cents</t>
        </is>
      </c>
      <c r="C243" s="16" t="inlineStr">
        <is>
          <t>§7.1, §7.2, I05, I10, I11, I12</t>
        </is>
      </c>
      <c r="D243" s="16" t="inlineStr">
        <is>
          <t>centavos BRL</t>
        </is>
      </c>
      <c r="E243" s="16" t="inlineStr">
        <is>
          <t>=</t>
        </is>
      </c>
      <c r="F243" s="32" t="n">
        <v>9700000</v>
      </c>
      <c r="G243" s="33" t="n"/>
      <c r="H243" s="32">
        <f>IF(AND(ISNUMBER(F243),ISNUMBER(G243)),G243-F243,"")</f>
        <v/>
      </c>
      <c r="I243" s="16">
        <f>IF(COUNTBLANK(G243)=1,"Não executado",IF(ISNUMBER(F243)&lt;&gt;ISNUMBER(G243),"Tipo incompatível",IF(IF(E243="&lt;&gt;",G243&lt;&gt;F243,G243=F243),IF(OR(J243="",K243="",NOT(ISNUMBER(L243)),L243&lt;=0),"Evidência pendente","Compatível"),"Divergente")))</f>
        <v/>
      </c>
      <c r="J243" s="12" t="str"/>
      <c r="K243" s="12" t="str"/>
      <c r="L243" s="28" t="n"/>
      <c r="M243" s="16" t="str"/>
      <c r="N243" s="16" t="str"/>
      <c r="O243" s="16" t="str"/>
      <c r="P243" s="16" t="str"/>
      <c r="Q243" s="16" t="str"/>
    </row>
    <row r="244" ht="42" customHeight="1">
      <c r="A244" s="16" t="inlineStr">
        <is>
          <t>CT18</t>
        </is>
      </c>
      <c r="B244" s="16" t="inlineStr">
        <is>
          <t>states[F].AF_cents</t>
        </is>
      </c>
      <c r="C244" s="16" t="inlineStr">
        <is>
          <t>§7.1, §7.2, I05, I10, I11, I12</t>
        </is>
      </c>
      <c r="D244" s="16" t="inlineStr">
        <is>
          <t>centavos BRL</t>
        </is>
      </c>
      <c r="E244" s="16" t="inlineStr">
        <is>
          <t>=</t>
        </is>
      </c>
      <c r="F244" s="32" t="n">
        <v>0</v>
      </c>
      <c r="G244" s="33" t="n"/>
      <c r="H244" s="32">
        <f>IF(AND(ISNUMBER(F244),ISNUMBER(G244)),G244-F244,"")</f>
        <v/>
      </c>
      <c r="I244" s="16">
        <f>IF(COUNTBLANK(G244)=1,"Não executado",IF(ISNUMBER(F244)&lt;&gt;ISNUMBER(G244),"Tipo incompatível",IF(IF(E244="&lt;&gt;",G244&lt;&gt;F244,G244=F244),IF(OR(J244="",K244="",NOT(ISNUMBER(L244)),L244&lt;=0),"Evidência pendente","Compatível"),"Divergente")))</f>
        <v/>
      </c>
      <c r="J244" s="12" t="str"/>
      <c r="K244" s="12" t="str"/>
      <c r="L244" s="28" t="n"/>
      <c r="M244" s="16" t="str"/>
      <c r="N244" s="16" t="str"/>
      <c r="O244" s="16" t="str"/>
      <c r="P244" s="16" t="str"/>
      <c r="Q244" s="16" t="str"/>
    </row>
    <row r="245" ht="42" customHeight="1">
      <c r="A245" s="16" t="inlineStr">
        <is>
          <t>CT18</t>
        </is>
      </c>
      <c r="B245" s="16" t="inlineStr">
        <is>
          <t>states[F].Q_scenario_cents</t>
        </is>
      </c>
      <c r="C245" s="16" t="inlineStr">
        <is>
          <t>§7.1, §7.2, I05, I10, I11, I12</t>
        </is>
      </c>
      <c r="D245" s="16" t="inlineStr">
        <is>
          <t>centavos BRL</t>
        </is>
      </c>
      <c r="E245" s="16" t="inlineStr">
        <is>
          <t>=</t>
        </is>
      </c>
      <c r="F245" s="32" t="n">
        <v>9700000</v>
      </c>
      <c r="G245" s="33" t="n"/>
      <c r="H245" s="32">
        <f>IF(AND(ISNUMBER(F245),ISNUMBER(G245)),G245-F245,"")</f>
        <v/>
      </c>
      <c r="I245" s="16">
        <f>IF(COUNTBLANK(G245)=1,"Não executado",IF(ISNUMBER(F245)&lt;&gt;ISNUMBER(G245),"Tipo incompatível",IF(IF(E245="&lt;&gt;",G245&lt;&gt;F245,G245=F245),IF(OR(J245="",K245="",NOT(ISNUMBER(L245)),L245&lt;=0),"Evidência pendente","Compatível"),"Divergente")))</f>
        <v/>
      </c>
      <c r="J245" s="12" t="str"/>
      <c r="K245" s="12" t="str"/>
      <c r="L245" s="28" t="n"/>
      <c r="M245" s="16" t="str"/>
      <c r="N245" s="16" t="str"/>
      <c r="O245" s="16" t="str"/>
      <c r="P245" s="16" t="str"/>
      <c r="Q245" s="16" t="str"/>
    </row>
    <row r="246" ht="112" customHeight="1">
      <c r="A246" s="20" t="inlineStr">
        <is>
          <t>CT19</t>
        </is>
      </c>
      <c r="B246" s="20" t="inlineStr">
        <is>
          <t>firm_foundation_contract_cents</t>
        </is>
      </c>
      <c r="C246" s="20" t="inlineStr">
        <is>
          <t>§8.4, §12.6, I01, I13, I14, I15</t>
        </is>
      </c>
      <c r="D246" s="20" t="inlineStr">
        <is>
          <t>centavos BRL</t>
        </is>
      </c>
      <c r="E246" s="20" t="inlineStr">
        <is>
          <t>=</t>
        </is>
      </c>
      <c r="F246" s="29" t="n">
        <v>55000000</v>
      </c>
      <c r="G246" s="30" t="n"/>
      <c r="H246" s="29">
        <f>IF(AND(ISNUMBER(F246),ISNUMBER(G246)),G246-F246,"")</f>
        <v/>
      </c>
      <c r="I246" s="20">
        <f>IF(COUNTBLANK(G246)=1,"Não executado",IF(ISNUMBER(F246)&lt;&gt;ISNUMBER(G246),"Tipo incompatível",IF(IF(E246="&lt;&gt;",G246&lt;&gt;F246,G246=F246),IF(OR(J246="",K246="",NOT(ISNUMBER(L246)),L246&lt;=0),"Evidência pendente","Compatível"),"Divergente")))</f>
        <v/>
      </c>
      <c r="J246" s="23" t="str"/>
      <c r="K246" s="23" t="str"/>
      <c r="L246" s="31" t="n"/>
      <c r="M246" s="20" t="inlineStr">
        <is>
          <t>Aditivo aprovado e previsão de estouro sem residual artificial</t>
        </is>
      </c>
      <c r="N246" s="20" t="inlineStr">
        <is>
          <t>{"original_budget_cents": 100000000, "current_approved_budget_cents": 100000000, "foundation_original_contract_cents": 50000000, "approved_foundation_addendum_cents": 5000000, "foundation_incurred_cents": 30000000, "finishes_contract_cents": 30000000, "finishes_incurred_cents": 10000000, "other_incurred_cents": 5000000, "uncovered_future_estimate_cents": 35000000, "unapproved_addendum_risk_cents": 4000000}</t>
        </is>
      </c>
      <c r="O246" s="20" t="inlineStr">
        <is>
          <t>Registrar aditivo aprovado de 50.000,00 à fundação.
Reestimar o escopo sem cobertura em 350.000,00.
Manter proposta ainda não aprovada de 40.000,00 apenas como risco/cenário.</t>
        </is>
      </c>
      <c r="P246" s="20" t="inlineStr">
        <is>
          <t>Incorrido=300.000,00+100.000,00+50.000,00=450.000,00. ETC=(550.000,00−300.000,00)+(300.000,00−100.000,00)+350.000,00=800.000,00.
EAC=450.000,00+800.000,00=1.250.000,00; desvio=250.000,00/1.000.000,00=25%. Residual artificial de 100.000,00 ocultaria 250.000,00.</t>
        </is>
      </c>
      <c r="Q246" s="20" t="inlineStr">
        <is>
          <t>D10: orçamento original e vigente desta fixture são 1.000.000,00; aditivo firme de 50.000,00 altera contrato, sem revisão do orçamento aprovada. Bases econômicas compatíveis.
Assinatura de aditivo não cria custo executado nem caixa. Não substituir B0/Bv por EAC para apagar desvio.
Sem histórico de pagamentos, este teste não afirma Q; testa o mapa econômico.</t>
        </is>
      </c>
    </row>
    <row r="247" ht="42" customHeight="1">
      <c r="A247" s="16" t="inlineStr">
        <is>
          <t>CT19</t>
        </is>
      </c>
      <c r="B247" s="16" t="inlineStr">
        <is>
          <t>incurred_cost_cents</t>
        </is>
      </c>
      <c r="C247" s="16" t="inlineStr">
        <is>
          <t>§8.4, §12.6, I01, I13, I14, I15</t>
        </is>
      </c>
      <c r="D247" s="16" t="inlineStr">
        <is>
          <t>centavos BRL</t>
        </is>
      </c>
      <c r="E247" s="16" t="inlineStr">
        <is>
          <t>=</t>
        </is>
      </c>
      <c r="F247" s="32" t="n">
        <v>45000000</v>
      </c>
      <c r="G247" s="33" t="n"/>
      <c r="H247" s="32">
        <f>IF(AND(ISNUMBER(F247),ISNUMBER(G247)),G247-F247,"")</f>
        <v/>
      </c>
      <c r="I247" s="16">
        <f>IF(COUNTBLANK(G247)=1,"Não executado",IF(ISNUMBER(F247)&lt;&gt;ISNUMBER(G247),"Tipo incompatível",IF(IF(E247="&lt;&gt;",G247&lt;&gt;F247,G247=F247),IF(OR(J247="",K247="",NOT(ISNUMBER(L247)),L247&lt;=0),"Evidência pendente","Compatível"),"Divergente")))</f>
        <v/>
      </c>
      <c r="J247" s="12" t="str"/>
      <c r="K247" s="12" t="str"/>
      <c r="L247" s="28" t="n"/>
      <c r="M247" s="16" t="str"/>
      <c r="N247" s="16" t="str"/>
      <c r="O247" s="16" t="str"/>
      <c r="P247" s="16" t="str"/>
      <c r="Q247" s="16" t="str"/>
    </row>
    <row r="248" ht="42" customHeight="1">
      <c r="A248" s="16" t="inlineStr">
        <is>
          <t>CT19</t>
        </is>
      </c>
      <c r="B248" s="16" t="inlineStr">
        <is>
          <t>ETC_cents</t>
        </is>
      </c>
      <c r="C248" s="16" t="inlineStr">
        <is>
          <t>§8.4, §12.6, I01, I13, I14, I15</t>
        </is>
      </c>
      <c r="D248" s="16" t="inlineStr">
        <is>
          <t>centavos BRL</t>
        </is>
      </c>
      <c r="E248" s="16" t="inlineStr">
        <is>
          <t>=</t>
        </is>
      </c>
      <c r="F248" s="32" t="n">
        <v>80000000</v>
      </c>
      <c r="G248" s="33" t="n"/>
      <c r="H248" s="32">
        <f>IF(AND(ISNUMBER(F248),ISNUMBER(G248)),G248-F248,"")</f>
        <v/>
      </c>
      <c r="I248" s="16">
        <f>IF(COUNTBLANK(G248)=1,"Não executado",IF(ISNUMBER(F248)&lt;&gt;ISNUMBER(G248),"Tipo incompatível",IF(IF(E248="&lt;&gt;",G248&lt;&gt;F248,G248=F248),IF(OR(J248="",K248="",NOT(ISNUMBER(L248)),L248&lt;=0),"Evidência pendente","Compatível"),"Divergente")))</f>
        <v/>
      </c>
      <c r="J248" s="12" t="str"/>
      <c r="K248" s="12" t="str"/>
      <c r="L248" s="28" t="n"/>
      <c r="M248" s="16" t="str"/>
      <c r="N248" s="16" t="str"/>
      <c r="O248" s="16" t="str"/>
      <c r="P248" s="16" t="str"/>
      <c r="Q248" s="16" t="str"/>
    </row>
    <row r="249" ht="42" customHeight="1">
      <c r="A249" s="16" t="inlineStr">
        <is>
          <t>CT19</t>
        </is>
      </c>
      <c r="B249" s="16" t="inlineStr">
        <is>
          <t>EAC_cents</t>
        </is>
      </c>
      <c r="C249" s="16" t="inlineStr">
        <is>
          <t>§8.4, §12.6, I01, I13, I14, I15</t>
        </is>
      </c>
      <c r="D249" s="16" t="inlineStr">
        <is>
          <t>centavos BRL</t>
        </is>
      </c>
      <c r="E249" s="16" t="inlineStr">
        <is>
          <t>=</t>
        </is>
      </c>
      <c r="F249" s="32" t="n">
        <v>125000000</v>
      </c>
      <c r="G249" s="33" t="n"/>
      <c r="H249" s="32">
        <f>IF(AND(ISNUMBER(F249),ISNUMBER(G249)),G249-F249,"")</f>
        <v/>
      </c>
      <c r="I249" s="16">
        <f>IF(COUNTBLANK(G249)=1,"Não executado",IF(ISNUMBER(F249)&lt;&gt;ISNUMBER(G249),"Tipo incompatível",IF(IF(E249="&lt;&gt;",G249&lt;&gt;F249,G249=F249),IF(OR(J249="",K249="",NOT(ISNUMBER(L249)),L249&lt;=0),"Evidência pendente","Compatível"),"Divergente")))</f>
        <v/>
      </c>
      <c r="J249" s="12" t="str"/>
      <c r="K249" s="12" t="str"/>
      <c r="L249" s="28" t="n"/>
      <c r="M249" s="16" t="str"/>
      <c r="N249" s="16" t="str"/>
      <c r="O249" s="16" t="str"/>
      <c r="P249" s="16" t="str"/>
      <c r="Q249" s="16" t="str"/>
    </row>
    <row r="250" ht="42" customHeight="1">
      <c r="A250" s="16" t="inlineStr">
        <is>
          <t>CT19</t>
        </is>
      </c>
      <c r="B250" s="16" t="inlineStr">
        <is>
          <t>variance_to_current_budget_cents</t>
        </is>
      </c>
      <c r="C250" s="16" t="inlineStr">
        <is>
          <t>§8.4, §12.6, I01, I13, I14, I15</t>
        </is>
      </c>
      <c r="D250" s="16" t="inlineStr">
        <is>
          <t>centavos BRL</t>
        </is>
      </c>
      <c r="E250" s="16" t="inlineStr">
        <is>
          <t>=</t>
        </is>
      </c>
      <c r="F250" s="32" t="n">
        <v>25000000</v>
      </c>
      <c r="G250" s="33" t="n"/>
      <c r="H250" s="32">
        <f>IF(AND(ISNUMBER(F250),ISNUMBER(G250)),G250-F250,"")</f>
        <v/>
      </c>
      <c r="I250" s="16">
        <f>IF(COUNTBLANK(G250)=1,"Não executado",IF(ISNUMBER(F250)&lt;&gt;ISNUMBER(G250),"Tipo incompatível",IF(IF(E250="&lt;&gt;",G250&lt;&gt;F250,G250=F250),IF(OR(J250="",K250="",NOT(ISNUMBER(L250)),L250&lt;=0),"Evidência pendente","Compatível"),"Divergente")))</f>
        <v/>
      </c>
      <c r="J250" s="12" t="str"/>
      <c r="K250" s="12" t="str"/>
      <c r="L250" s="28" t="n"/>
      <c r="M250" s="16" t="str"/>
      <c r="N250" s="16" t="str"/>
      <c r="O250" s="16" t="str"/>
      <c r="P250" s="16" t="str"/>
      <c r="Q250" s="16" t="str"/>
    </row>
    <row r="251" ht="42" customHeight="1">
      <c r="A251" s="16" t="inlineStr">
        <is>
          <t>CT19</t>
        </is>
      </c>
      <c r="B251" s="16" t="inlineStr">
        <is>
          <t>variance_percent</t>
        </is>
      </c>
      <c r="C251" s="16" t="inlineStr">
        <is>
          <t>§8.4, §12.6, I01, I13, I14, I15</t>
        </is>
      </c>
      <c r="D251" s="16" t="inlineStr">
        <is>
          <t>% de 0 a 100</t>
        </is>
      </c>
      <c r="E251" s="16" t="inlineStr">
        <is>
          <t>=</t>
        </is>
      </c>
      <c r="F251" s="34" t="n">
        <v>25</v>
      </c>
      <c r="G251" s="35" t="n"/>
      <c r="H251" s="34">
        <f>IF(AND(ISNUMBER(F251),ISNUMBER(G251)),G251-F251,"")</f>
        <v/>
      </c>
      <c r="I251" s="16">
        <f>IF(COUNTBLANK(G251)=1,"Não executado",IF(ISNUMBER(F251)&lt;&gt;ISNUMBER(G251),"Tipo incompatível",IF(IF(E251="&lt;&gt;",G251&lt;&gt;F251,G251=F251),IF(OR(J251="",K251="",NOT(ISNUMBER(L251)),L251&lt;=0),"Evidência pendente","Compatível"),"Divergente")))</f>
        <v/>
      </c>
      <c r="J251" s="12" t="str"/>
      <c r="K251" s="12" t="str"/>
      <c r="L251" s="28" t="n"/>
      <c r="M251" s="16" t="str"/>
      <c r="N251" s="16" t="str"/>
      <c r="O251" s="16" t="str"/>
      <c r="P251" s="16" t="str"/>
      <c r="Q251" s="16" t="str"/>
    </row>
    <row r="252" ht="42" customHeight="1">
      <c r="A252" s="16" t="inlineStr">
        <is>
          <t>CT19</t>
        </is>
      </c>
      <c r="B252" s="16" t="inlineStr">
        <is>
          <t>firm_commitment_increment_from_unapproved_proposal_cents</t>
        </is>
      </c>
      <c r="C252" s="16" t="inlineStr">
        <is>
          <t>§8.4, §12.6, I01, I13, I14, I15</t>
        </is>
      </c>
      <c r="D252" s="16" t="inlineStr">
        <is>
          <t>centavos BRL</t>
        </is>
      </c>
      <c r="E252" s="16" t="inlineStr">
        <is>
          <t>=</t>
        </is>
      </c>
      <c r="F252" s="32" t="n">
        <v>0</v>
      </c>
      <c r="G252" s="33" t="n"/>
      <c r="H252" s="32">
        <f>IF(AND(ISNUMBER(F252),ISNUMBER(G252)),G252-F252,"")</f>
        <v/>
      </c>
      <c r="I252" s="16">
        <f>IF(COUNTBLANK(G252)=1,"Não executado",IF(ISNUMBER(F252)&lt;&gt;ISNUMBER(G252),"Tipo incompatível",IF(IF(E252="&lt;&gt;",G252&lt;&gt;F252,G252=F252),IF(OR(J252="",K252="",NOT(ISNUMBER(L252)),L252&lt;=0),"Evidência pendente","Compatível"),"Divergente")))</f>
        <v/>
      </c>
      <c r="J252" s="12" t="str"/>
      <c r="K252" s="12" t="str"/>
      <c r="L252" s="28" t="n"/>
      <c r="M252" s="16" t="str"/>
      <c r="N252" s="16" t="str"/>
      <c r="O252" s="16" t="str"/>
      <c r="P252" s="16" t="str"/>
      <c r="Q252" s="16" t="str"/>
    </row>
    <row r="253" ht="42" customHeight="1">
      <c r="A253" s="16" t="inlineStr">
        <is>
          <t>CT19</t>
        </is>
      </c>
      <c r="B253" s="16" t="inlineStr">
        <is>
          <t>scenario_EAC_if_risk_fully_added_cents</t>
        </is>
      </c>
      <c r="C253" s="16" t="inlineStr">
        <is>
          <t>§8.4, §12.6, I01, I13, I14, I15</t>
        </is>
      </c>
      <c r="D253" s="16" t="inlineStr">
        <is>
          <t>centavos BRL</t>
        </is>
      </c>
      <c r="E253" s="16" t="inlineStr">
        <is>
          <t>=</t>
        </is>
      </c>
      <c r="F253" s="32" t="n">
        <v>129000000</v>
      </c>
      <c r="G253" s="33" t="n"/>
      <c r="H253" s="32">
        <f>IF(AND(ISNUMBER(F253),ISNUMBER(G253)),G253-F253,"")</f>
        <v/>
      </c>
      <c r="I253" s="16">
        <f>IF(COUNTBLANK(G253)=1,"Não executado",IF(ISNUMBER(F253)&lt;&gt;ISNUMBER(G253),"Tipo incompatível",IF(IF(E253="&lt;&gt;",G253&lt;&gt;F253,G253=F253),IF(OR(J253="",K253="",NOT(ISNUMBER(L253)),L253&lt;=0),"Evidência pendente","Compatível"),"Divergente")))</f>
        <v/>
      </c>
      <c r="J253" s="12" t="str"/>
      <c r="K253" s="12" t="str"/>
      <c r="L253" s="28" t="n"/>
      <c r="M253" s="16" t="str"/>
      <c r="N253" s="16" t="str"/>
      <c r="O253" s="16" t="str"/>
      <c r="P253" s="16" t="str"/>
      <c r="Q253" s="16" t="str"/>
    </row>
    <row r="254" ht="112" customHeight="1">
      <c r="A254" s="20" t="inlineStr">
        <is>
          <t>CT20</t>
        </is>
      </c>
      <c r="B254" s="20" t="inlineStr">
        <is>
          <t>original_september_cost_cents</t>
        </is>
      </c>
      <c r="C254" s="20" t="inlineStr">
        <is>
          <t>§3, §10, I01, I02, D11</t>
        </is>
      </c>
      <c r="D254" s="20" t="inlineStr">
        <is>
          <t>centavos BRL</t>
        </is>
      </c>
      <c r="E254" s="20" t="inlineStr">
        <is>
          <t>=</t>
        </is>
      </c>
      <c r="F254" s="29" t="n">
        <v>50000000</v>
      </c>
      <c r="G254" s="30" t="n"/>
      <c r="H254" s="29">
        <f>IF(AND(ISNUMBER(F254),ISNUMBER(G254)),G254-F254,"")</f>
        <v/>
      </c>
      <c r="I254" s="20">
        <f>IF(COUNTBLANK(G254)=1,"Não executado",IF(ISNUMBER(F254)&lt;&gt;ISNUMBER(G254),"Tipo incompatível",IF(IF(E254="&lt;&gt;",G254&lt;&gt;F254,G254=F254),IF(OR(J254="",K254="",NOT(ISNUMBER(L254)),L254&lt;=0),"Evidência pendente","Compatível"),"Divergente")))</f>
        <v/>
      </c>
      <c r="J254" s="23" t="str"/>
      <c r="K254" s="23" t="str"/>
      <c r="L254" s="31" t="n"/>
      <c r="M254" s="20" t="inlineStr">
        <is>
          <t>Correção de período fechado com duas posições reproduzíveis</t>
        </is>
      </c>
      <c r="N254" s="20" t="inlineStr">
        <is>
          <t>{"closed_period": "2026-09", "original_cost_cents": 50000000, "omitted_september_service_cents": 3000000, "discovered": "2026-10-15", "approved": "2026-10-16", "payment_bank_date": "2026-10-20", "payment_cents": 3000000}</t>
        </is>
      </c>
      <c r="O254" s="20" t="inlineStr">
        <is>
          <t>Conservar versão fechada de setembro.
Registrar correção aprovada com competência setembro.
Consultar T=30/09 no K original e no K reapresentado.
Consultar caixa do pagamento de outubro.</t>
        </is>
      </c>
      <c r="P254" s="20" t="inlineStr">
        <is>
          <t>Setembro reapresentado=500.000,00+30.000,00=530.000,00. Diferença explicada=30.000,00.
O pagamento permanece em 20/10; o fato econômico corrigido pertence a setembro.</t>
        </is>
      </c>
      <c r="Q254" s="20" t="inlineStr">
        <is>
          <t>D11: retificação gerencial aprovada em 16/10. A política de escrituração contábil não é presumida por este teste.
Reimportação não contorna o bloqueio de período fechado. Responsável, motivo, data e vínculo ao original são obrigatórios.</t>
        </is>
      </c>
    </row>
    <row r="255" ht="42" customHeight="1">
      <c r="A255" s="16" t="inlineStr">
        <is>
          <t>CT20</t>
        </is>
      </c>
      <c r="B255" s="16" t="inlineStr">
        <is>
          <t>restated_september_cost_cents</t>
        </is>
      </c>
      <c r="C255" s="16" t="inlineStr">
        <is>
          <t>§3, §10, I01, I02, D11</t>
        </is>
      </c>
      <c r="D255" s="16" t="inlineStr">
        <is>
          <t>centavos BRL</t>
        </is>
      </c>
      <c r="E255" s="16" t="inlineStr">
        <is>
          <t>=</t>
        </is>
      </c>
      <c r="F255" s="32" t="n">
        <v>53000000</v>
      </c>
      <c r="G255" s="33" t="n"/>
      <c r="H255" s="32">
        <f>IF(AND(ISNUMBER(F255),ISNUMBER(G255)),G255-F255,"")</f>
        <v/>
      </c>
      <c r="I255" s="16">
        <f>IF(COUNTBLANK(G255)=1,"Não executado",IF(ISNUMBER(F255)&lt;&gt;ISNUMBER(G255),"Tipo incompatível",IF(IF(E255="&lt;&gt;",G255&lt;&gt;F255,G255=F255),IF(OR(J255="",K255="",NOT(ISNUMBER(L255)),L255&lt;=0),"Evidência pendente","Compatível"),"Divergente")))</f>
        <v/>
      </c>
      <c r="J255" s="12" t="str"/>
      <c r="K255" s="12" t="str"/>
      <c r="L255" s="28" t="n"/>
      <c r="M255" s="16" t="str"/>
      <c r="N255" s="16" t="str"/>
      <c r="O255" s="16" t="str"/>
      <c r="P255" s="16" t="str"/>
      <c r="Q255" s="16" t="str"/>
    </row>
    <row r="256" ht="42" customHeight="1">
      <c r="A256" s="16" t="inlineStr">
        <is>
          <t>CT20</t>
        </is>
      </c>
      <c r="B256" s="16" t="inlineStr">
        <is>
          <t>bridge_cents</t>
        </is>
      </c>
      <c r="C256" s="16" t="inlineStr">
        <is>
          <t>§3, §10, I01, I02, D11</t>
        </is>
      </c>
      <c r="D256" s="16" t="inlineStr">
        <is>
          <t>centavos BRL</t>
        </is>
      </c>
      <c r="E256" s="16" t="inlineStr">
        <is>
          <t>=</t>
        </is>
      </c>
      <c r="F256" s="32" t="n">
        <v>3000000</v>
      </c>
      <c r="G256" s="33" t="n"/>
      <c r="H256" s="32">
        <f>IF(AND(ISNUMBER(F256),ISNUMBER(G256)),G256-F256,"")</f>
        <v/>
      </c>
      <c r="I256" s="16">
        <f>IF(COUNTBLANK(G256)=1,"Não executado",IF(ISNUMBER(F256)&lt;&gt;ISNUMBER(G256),"Tipo incompatível",IF(IF(E256="&lt;&gt;",G256&lt;&gt;F256,G256=F256),IF(OR(J256="",K256="",NOT(ISNUMBER(L256)),L256&lt;=0),"Evidência pendente","Compatível"),"Divergente")))</f>
        <v/>
      </c>
      <c r="J256" s="12" t="str"/>
      <c r="K256" s="12" t="str"/>
      <c r="L256" s="28" t="n"/>
      <c r="M256" s="16" t="str"/>
      <c r="N256" s="16" t="str"/>
      <c r="O256" s="16" t="str"/>
      <c r="P256" s="16" t="str"/>
      <c r="Q256" s="16" t="str"/>
    </row>
    <row r="257" ht="42" customHeight="1">
      <c r="A257" s="16" t="inlineStr">
        <is>
          <t>CT20</t>
        </is>
      </c>
      <c r="B257" s="16" t="inlineStr">
        <is>
          <t>new_october_economic_cost_from_prior_error_cents</t>
        </is>
      </c>
      <c r="C257" s="16" t="inlineStr">
        <is>
          <t>§3, §10, I01, I02, D11</t>
        </is>
      </c>
      <c r="D257" s="16" t="inlineStr">
        <is>
          <t>centavos BRL</t>
        </is>
      </c>
      <c r="E257" s="16" t="inlineStr">
        <is>
          <t>=</t>
        </is>
      </c>
      <c r="F257" s="32" t="n">
        <v>0</v>
      </c>
      <c r="G257" s="33" t="n"/>
      <c r="H257" s="32">
        <f>IF(AND(ISNUMBER(F257),ISNUMBER(G257)),G257-F257,"")</f>
        <v/>
      </c>
      <c r="I257" s="16">
        <f>IF(COUNTBLANK(G257)=1,"Não executado",IF(ISNUMBER(F257)&lt;&gt;ISNUMBER(G257),"Tipo incompatível",IF(IF(E257="&lt;&gt;",G257&lt;&gt;F257,G257=F257),IF(OR(J257="",K257="",NOT(ISNUMBER(L257)),L257&lt;=0),"Evidência pendente","Compatível"),"Divergente")))</f>
        <v/>
      </c>
      <c r="J257" s="12" t="str"/>
      <c r="K257" s="12" t="str"/>
      <c r="L257" s="28" t="n"/>
      <c r="M257" s="16" t="str"/>
      <c r="N257" s="16" t="str"/>
      <c r="O257" s="16" t="str"/>
      <c r="P257" s="16" t="str"/>
      <c r="Q257" s="16" t="str"/>
    </row>
    <row r="258" ht="42" customHeight="1">
      <c r="A258" s="16" t="inlineStr">
        <is>
          <t>CT20</t>
        </is>
      </c>
      <c r="B258" s="16" t="inlineStr">
        <is>
          <t>october_bank_outflow_cents</t>
        </is>
      </c>
      <c r="C258" s="16" t="inlineStr">
        <is>
          <t>§3, §10, I01, I02, D11</t>
        </is>
      </c>
      <c r="D258" s="16" t="inlineStr">
        <is>
          <t>centavos BRL</t>
        </is>
      </c>
      <c r="E258" s="16" t="inlineStr">
        <is>
          <t>=</t>
        </is>
      </c>
      <c r="F258" s="32" t="n">
        <v>3000000</v>
      </c>
      <c r="G258" s="33" t="n"/>
      <c r="H258" s="32">
        <f>IF(AND(ISNUMBER(F258),ISNUMBER(G258)),G258-F258,"")</f>
        <v/>
      </c>
      <c r="I258" s="16">
        <f>IF(COUNTBLANK(G258)=1,"Não executado",IF(ISNUMBER(F258)&lt;&gt;ISNUMBER(G258),"Tipo incompatível",IF(IF(E258="&lt;&gt;",G258&lt;&gt;F258,G258=F258),IF(OR(J258="",K258="",NOT(ISNUMBER(L258)),L258&lt;=0),"Evidência pendente","Compatível"),"Divergente")))</f>
        <v/>
      </c>
      <c r="J258" s="12" t="str"/>
      <c r="K258" s="12" t="str"/>
      <c r="L258" s="28" t="n"/>
      <c r="M258" s="16" t="str"/>
      <c r="N258" s="16" t="str"/>
      <c r="O258" s="16" t="str"/>
      <c r="P258" s="16" t="str"/>
      <c r="Q258" s="16" t="str"/>
    </row>
    <row r="259" ht="42" customHeight="1">
      <c r="A259" s="16" t="inlineStr">
        <is>
          <t>CT20</t>
        </is>
      </c>
      <c r="B259" s="16" t="inlineStr">
        <is>
          <t>original_snapshot_mutations</t>
        </is>
      </c>
      <c r="C259" s="16" t="inlineStr">
        <is>
          <t>§3, §10, I01, I02, D11</t>
        </is>
      </c>
      <c r="D259" s="16" t="inlineStr">
        <is>
          <t>número</t>
        </is>
      </c>
      <c r="E259" s="16" t="inlineStr">
        <is>
          <t>=</t>
        </is>
      </c>
      <c r="F259" s="32" t="n">
        <v>0</v>
      </c>
      <c r="G259" s="33" t="n"/>
      <c r="H259" s="32">
        <f>IF(AND(ISNUMBER(F259),ISNUMBER(G259)),G259-F259,"")</f>
        <v/>
      </c>
      <c r="I259" s="16">
        <f>IF(COUNTBLANK(G259)=1,"Não executado",IF(ISNUMBER(F259)&lt;&gt;ISNUMBER(G259),"Tipo incompatível",IF(IF(E259="&lt;&gt;",G259&lt;&gt;F259,G259=F259),IF(OR(J259="",K259="",NOT(ISNUMBER(L259)),L259&lt;=0),"Evidência pendente","Compatível"),"Divergente")))</f>
        <v/>
      </c>
      <c r="J259" s="12" t="str"/>
      <c r="K259" s="12" t="str"/>
      <c r="L259" s="28" t="n"/>
      <c r="M259" s="16" t="str"/>
      <c r="N259" s="16" t="str"/>
      <c r="O259" s="16" t="str"/>
      <c r="P259" s="16" t="str"/>
      <c r="Q259" s="16" t="str"/>
    </row>
    <row r="260" ht="112" customHeight="1">
      <c r="A260" s="20" t="inlineStr">
        <is>
          <t>CT21</t>
        </is>
      </c>
      <c r="B260" s="20" t="inlineStr">
        <is>
          <t>known_obligations_subtotal_cents</t>
        </is>
      </c>
      <c r="C260" s="20" t="inlineStr">
        <is>
          <t>§7.2, §11, I12, I14, I15, I22</t>
        </is>
      </c>
      <c r="D260" s="20" t="inlineStr">
        <is>
          <t>centavos BRL</t>
        </is>
      </c>
      <c r="E260" s="20" t="inlineStr">
        <is>
          <t>=</t>
        </is>
      </c>
      <c r="F260" s="29" t="n">
        <v>14000000</v>
      </c>
      <c r="G260" s="30" t="n"/>
      <c r="H260" s="29">
        <f>IF(AND(ISNUMBER(F260),ISNUMBER(G260)),G260-F260,"")</f>
        <v/>
      </c>
      <c r="I260" s="20">
        <f>IF(COUNTBLANK(G260)=1,"Não executado",IF(ISNUMBER(F260)&lt;&gt;ISNUMBER(G260),"Tipo incompatível",IF(IF(E260="&lt;&gt;",G260&lt;&gt;F260,G260=F260),IF(OR(J260="",K260="",NOT(ISNUMBER(L260)),L260&lt;=0),"Evidência pendente","Compatível"),"Divergente")))</f>
        <v/>
      </c>
      <c r="J260" s="23" t="str"/>
      <c r="K260" s="23" t="str"/>
      <c r="L260" s="31" t="n"/>
      <c r="M260" s="20" t="inlineStr">
        <is>
          <t>Dados incompletos não se tornam zero ou total validado</t>
        </is>
      </c>
      <c r="N260" s="20" t="inlineStr">
        <is>
          <t>{"known_R_cents": 14000000, "reported_contract_future_cents": 84000000, "contract_title_coverage_available": false, "uncovered_forecast_cents": null, "current_budget_valid": false, "loaded_external_id_count": 2, "expected_external_id_count": null}</t>
        </is>
      </c>
      <c r="O260" s="20" t="inlineStr">
        <is>
          <t>Solicitar Q, EAC, desvio percentual e cobertura externa.
Emitir dashboard, exportação e resposta da IA com mesmos filtros/T/K.</t>
        </is>
      </c>
      <c r="P260" s="20" t="inlineStr">
        <is>
          <t>140.000,00 de obrigações é subtotal conhecido. Não é possível afirmar Q=140.000,00+840.000,00 porque há possível sobreposição e P é desconhecido.
2 IDs carregados/universo desconhecido não produz 100%.</t>
        </is>
      </c>
      <c r="Q260" s="20" t="inlineStr">
        <is>
          <t>D12: vínculo financeiro ausente e previsão incompleta impedem certificação de Q/EAC. Nenhuma política de exceção altera desconhecido em zero.
A apresentação informa lacuna, valor conhecido, período e fonte. Exceção aprovada para uso condicionado não remove a lacuna.
{"path":"Q_cents","operator":"not_equal","forbidden_value":98000000}</t>
        </is>
      </c>
    </row>
    <row r="261" ht="42" customHeight="1">
      <c r="A261" s="16" t="inlineStr">
        <is>
          <t>CT21</t>
        </is>
      </c>
      <c r="B261" s="16" t="inlineStr">
        <is>
          <t>contract_amount_shown_separately_cents</t>
        </is>
      </c>
      <c r="C261" s="16" t="inlineStr">
        <is>
          <t>§7.2, §11, I12, I14, I15, I22</t>
        </is>
      </c>
      <c r="D261" s="16" t="inlineStr">
        <is>
          <t>centavos BRL</t>
        </is>
      </c>
      <c r="E261" s="16" t="inlineStr">
        <is>
          <t>=</t>
        </is>
      </c>
      <c r="F261" s="32" t="n">
        <v>84000000</v>
      </c>
      <c r="G261" s="33" t="n"/>
      <c r="H261" s="32">
        <f>IF(AND(ISNUMBER(F261),ISNUMBER(G261)),G261-F261,"")</f>
        <v/>
      </c>
      <c r="I261" s="16">
        <f>IF(COUNTBLANK(G261)=1,"Não executado",IF(ISNUMBER(F261)&lt;&gt;ISNUMBER(G261),"Tipo incompatível",IF(IF(E261="&lt;&gt;",G261&lt;&gt;F261,G261=F261),IF(OR(J261="",K261="",NOT(ISNUMBER(L261)),L261&lt;=0),"Evidência pendente","Compatível"),"Divergente")))</f>
        <v/>
      </c>
      <c r="J261" s="12" t="str"/>
      <c r="K261" s="12" t="str"/>
      <c r="L261" s="28" t="n"/>
      <c r="M261" s="16" t="str"/>
      <c r="N261" s="16" t="str"/>
      <c r="O261" s="16" t="str"/>
      <c r="P261" s="16" t="str"/>
      <c r="Q261" s="16" t="str"/>
    </row>
    <row r="262" ht="42" customHeight="1">
      <c r="A262" s="16" t="inlineStr">
        <is>
          <t>CT21</t>
        </is>
      </c>
      <c r="B262" s="16" t="inlineStr">
        <is>
          <t>Q_cents</t>
        </is>
      </c>
      <c r="C262" s="16" t="inlineStr">
        <is>
          <t>§7.2, §11, I12, I14, I15, I22</t>
        </is>
      </c>
      <c r="D262" s="16" t="inlineStr">
        <is>
          <t>null</t>
        </is>
      </c>
      <c r="E262" s="16" t="inlineStr">
        <is>
          <t>=</t>
        </is>
      </c>
      <c r="F262" s="32" t="inlineStr">
        <is>
          <t>null</t>
        </is>
      </c>
      <c r="G262" s="33" t="n"/>
      <c r="H262" s="32">
        <f>IF(AND(ISNUMBER(F262),ISNUMBER(G262)),G262-F262,"")</f>
        <v/>
      </c>
      <c r="I262" s="16">
        <f>IF(COUNTBLANK(G262)=1,"Não executado",IF(ISNUMBER(F262)&lt;&gt;ISNUMBER(G262),"Tipo incompatível",IF(IF(E262="&lt;&gt;",G262&lt;&gt;F262,G262=F262),IF(OR(J262="",K262="",NOT(ISNUMBER(L262)),L262&lt;=0),"Evidência pendente","Compatível"),"Divergente")))</f>
        <v/>
      </c>
      <c r="J262" s="12" t="str"/>
      <c r="K262" s="12" t="str"/>
      <c r="L262" s="28" t="n"/>
      <c r="M262" s="16" t="str"/>
      <c r="N262" s="16" t="str"/>
      <c r="O262" s="16" t="str"/>
      <c r="P262" s="16" t="str"/>
      <c r="Q262" s="16" t="str"/>
    </row>
    <row r="263" ht="42" customHeight="1">
      <c r="A263" s="16" t="inlineStr">
        <is>
          <t>CT21</t>
        </is>
      </c>
      <c r="B263" s="16" t="inlineStr">
        <is>
          <t>EAC_cents</t>
        </is>
      </c>
      <c r="C263" s="16" t="inlineStr">
        <is>
          <t>§7.2, §11, I12, I14, I15, I22</t>
        </is>
      </c>
      <c r="D263" s="16" t="inlineStr">
        <is>
          <t>null</t>
        </is>
      </c>
      <c r="E263" s="16" t="inlineStr">
        <is>
          <t>=</t>
        </is>
      </c>
      <c r="F263" s="32" t="inlineStr">
        <is>
          <t>null</t>
        </is>
      </c>
      <c r="G263" s="33" t="n"/>
      <c r="H263" s="32">
        <f>IF(AND(ISNUMBER(F263),ISNUMBER(G263)),G263-F263,"")</f>
        <v/>
      </c>
      <c r="I263" s="16">
        <f>IF(COUNTBLANK(G263)=1,"Não executado",IF(ISNUMBER(F263)&lt;&gt;ISNUMBER(G263),"Tipo incompatível",IF(IF(E263="&lt;&gt;",G263&lt;&gt;F263,G263=F263),IF(OR(J263="",K263="",NOT(ISNUMBER(L263)),L263&lt;=0),"Evidência pendente","Compatível"),"Divergente")))</f>
        <v/>
      </c>
      <c r="J263" s="12" t="str"/>
      <c r="K263" s="12" t="str"/>
      <c r="L263" s="28" t="n"/>
      <c r="M263" s="16" t="str"/>
      <c r="N263" s="16" t="str"/>
      <c r="O263" s="16" t="str"/>
      <c r="P263" s="16" t="str"/>
      <c r="Q263" s="16" t="str"/>
    </row>
    <row r="264" ht="42" customHeight="1">
      <c r="A264" s="16" t="inlineStr">
        <is>
          <t>CT21</t>
        </is>
      </c>
      <c r="B264" s="16" t="inlineStr">
        <is>
          <t>budget_variance_percent</t>
        </is>
      </c>
      <c r="C264" s="16" t="inlineStr">
        <is>
          <t>§7.2, §11, I12, I14, I15, I22</t>
        </is>
      </c>
      <c r="D264" s="16" t="inlineStr">
        <is>
          <t>null</t>
        </is>
      </c>
      <c r="E264" s="16" t="inlineStr">
        <is>
          <t>=</t>
        </is>
      </c>
      <c r="F264" s="32" t="inlineStr">
        <is>
          <t>null</t>
        </is>
      </c>
      <c r="G264" s="33" t="n"/>
      <c r="H264" s="32">
        <f>IF(AND(ISNUMBER(F264),ISNUMBER(G264)),G264-F264,"")</f>
        <v/>
      </c>
      <c r="I264" s="16">
        <f>IF(COUNTBLANK(G264)=1,"Não executado",IF(ISNUMBER(F264)&lt;&gt;ISNUMBER(G264),"Tipo incompatível",IF(IF(E264="&lt;&gt;",G264&lt;&gt;F264,G264=F264),IF(OR(J264="",K264="",NOT(ISNUMBER(L264)),L264&lt;=0),"Evidência pendente","Compatível"),"Divergente")))</f>
        <v/>
      </c>
      <c r="J264" s="12" t="str"/>
      <c r="K264" s="12" t="str"/>
      <c r="L264" s="28" t="n"/>
      <c r="M264" s="16" t="str"/>
      <c r="N264" s="16" t="str"/>
      <c r="O264" s="16" t="str"/>
      <c r="P264" s="16" t="str"/>
      <c r="Q264" s="16" t="str"/>
    </row>
    <row r="265" ht="42" customHeight="1">
      <c r="A265" s="16" t="inlineStr">
        <is>
          <t>CT21</t>
        </is>
      </c>
      <c r="B265" s="16" t="inlineStr">
        <is>
          <t>external_coverage_percent</t>
        </is>
      </c>
      <c r="C265" s="16" t="inlineStr">
        <is>
          <t>§7.2, §11, I12, I14, I15, I22</t>
        </is>
      </c>
      <c r="D265" s="16" t="inlineStr">
        <is>
          <t>null</t>
        </is>
      </c>
      <c r="E265" s="16" t="inlineStr">
        <is>
          <t>=</t>
        </is>
      </c>
      <c r="F265" s="32" t="inlineStr">
        <is>
          <t>null</t>
        </is>
      </c>
      <c r="G265" s="33" t="n"/>
      <c r="H265" s="32">
        <f>IF(AND(ISNUMBER(F265),ISNUMBER(G265)),G265-F265,"")</f>
        <v/>
      </c>
      <c r="I265" s="16">
        <f>IF(COUNTBLANK(G265)=1,"Não executado",IF(ISNUMBER(F265)&lt;&gt;ISNUMBER(G265),"Tipo incompatível",IF(IF(E265="&lt;&gt;",G265&lt;&gt;F265,G265=F265),IF(OR(J265="",K265="",NOT(ISNUMBER(L265)),L265&lt;=0),"Evidência pendente","Compatível"),"Divergente")))</f>
        <v/>
      </c>
      <c r="J265" s="12" t="str"/>
      <c r="K265" s="12" t="str"/>
      <c r="L265" s="28" t="n"/>
      <c r="M265" s="16" t="str"/>
      <c r="N265" s="16" t="str"/>
      <c r="O265" s="16" t="str"/>
      <c r="P265" s="16" t="str"/>
      <c r="Q265" s="16" t="str"/>
    </row>
    <row r="266" ht="42" customHeight="1">
      <c r="A266" s="16" t="inlineStr">
        <is>
          <t>CT21</t>
        </is>
      </c>
      <c r="B266" s="16" t="inlineStr">
        <is>
          <t>status</t>
        </is>
      </c>
      <c r="C266" s="16" t="inlineStr">
        <is>
          <t>§7.2, §11, I12, I14, I15, I22</t>
        </is>
      </c>
      <c r="D266" s="16" t="inlineStr">
        <is>
          <t>texto</t>
        </is>
      </c>
      <c r="E266" s="16" t="inlineStr">
        <is>
          <t>=</t>
        </is>
      </c>
      <c r="F266" s="32" t="inlineStr">
        <is>
          <t>incompleto</t>
        </is>
      </c>
      <c r="G266" s="33" t="n"/>
      <c r="H266" s="32">
        <f>IF(AND(ISNUMBER(F266),ISNUMBER(G266)),G266-F266,"")</f>
        <v/>
      </c>
      <c r="I266" s="16">
        <f>IF(COUNTBLANK(G266)=1,"Não executado",IF(ISNUMBER(F266)&lt;&gt;ISNUMBER(G266),"Tipo incompatível",IF(IF(E266="&lt;&gt;",G266&lt;&gt;F266,G266=F266),IF(OR(J266="",K266="",NOT(ISNUMBER(L266)),L266&lt;=0),"Evidência pendente","Compatível"),"Divergente")))</f>
        <v/>
      </c>
      <c r="J266" s="12" t="str"/>
      <c r="K266" s="12" t="str"/>
      <c r="L266" s="28" t="n"/>
      <c r="M266" s="16" t="str"/>
      <c r="N266" s="16" t="str"/>
      <c r="O266" s="16" t="str"/>
      <c r="P266" s="16" t="str"/>
      <c r="Q266" s="16" t="str"/>
    </row>
    <row r="267" ht="112" customHeight="1">
      <c r="A267" s="20" t="inlineStr">
        <is>
          <t>CT22</t>
        </is>
      </c>
      <c r="B267" s="20" t="inlineStr">
        <is>
          <t>cash_received_cents</t>
        </is>
      </c>
      <c r="C267" s="20" t="inlineStr">
        <is>
          <t>§8.2, §8.5, I09, I16, I17, I18</t>
        </is>
      </c>
      <c r="D267" s="20" t="inlineStr">
        <is>
          <t>centavos BRL</t>
        </is>
      </c>
      <c r="E267" s="20" t="inlineStr">
        <is>
          <t>=</t>
        </is>
      </c>
      <c r="F267" s="29" t="n">
        <v>2000000</v>
      </c>
      <c r="G267" s="30" t="n"/>
      <c r="H267" s="29">
        <f>IF(AND(ISNUMBER(F267),ISNUMBER(G267)),G267-F267,"")</f>
        <v/>
      </c>
      <c r="I267" s="20">
        <f>IF(COUNTBLANK(G267)=1,"Não executado",IF(ISNUMBER(F267)&lt;&gt;ISNUMBER(G267),"Tipo incompatível",IF(IF(E267="&lt;&gt;",G267&lt;&gt;F267,G267=F267),IF(OR(J267="",K267="",NOT(ISNUMBER(L267)),L267&lt;=0),"Evidência pendente","Compatível"),"Divergente")))</f>
        <v/>
      </c>
      <c r="J267" s="23" t="str"/>
      <c r="K267" s="23" t="str"/>
      <c r="L267" s="31" t="n"/>
      <c r="M267" s="20" t="inlineStr">
        <is>
          <t>Adiantamento de cliente e entradas futuras sem abatimento global repetido</t>
        </is>
      </c>
      <c r="N267" s="20" t="inlineStr">
        <is>
          <t>{"sales_contract_cents": 10000000, "received_advance_cents": 2000000, "later_issued_installment_cents": 4000000, "advance_applied_cents": 2000000, "contract_future_not_issued_cents": 6000000}</t>
        </is>
      </c>
      <c r="O267" s="20" t="inlineStr">
        <is>
          <t>Receber e conciliar antecipação de 20.000,00.
Emitir parcela de 40.000,00 e aplicar integralmente o adiantamento.
Calcular recebíveis abertos e fluxo contratual futuro.</t>
        </is>
      </c>
      <c r="P267" s="20" t="inlineStr">
        <is>
          <t>Recebível aberto=40.000,00−20.000,00=20.000,00. Entradas futuras=20.000,00+60.000,00=80.000,00.
Não subtrair o adiantamento novamente para chegar a 60.000,00.</t>
        </is>
      </c>
      <c r="Q267" s="20" t="inlineStr">
        <is>
          <t>D09: contrato financeiro firme de 100.000,00; nenhum desempenho que autorize receita ocorreu nesta fixture. Adiantamento deve ser aplicado à parcela identificada.
Origem do recebimento, crédito e aplicação permanecem vinculados; receita e direito financeiro são dimensões distintas.</t>
        </is>
      </c>
    </row>
    <row r="268" ht="42" customHeight="1">
      <c r="A268" s="16" t="inlineStr">
        <is>
          <t>CT22</t>
        </is>
      </c>
      <c r="B268" s="16" t="inlineStr">
        <is>
          <t>advance_available_before_application_cents</t>
        </is>
      </c>
      <c r="C268" s="16" t="inlineStr">
        <is>
          <t>§8.2, §8.5, I09, I16, I17, I18</t>
        </is>
      </c>
      <c r="D268" s="16" t="inlineStr">
        <is>
          <t>centavos BRL</t>
        </is>
      </c>
      <c r="E268" s="16" t="inlineStr">
        <is>
          <t>=</t>
        </is>
      </c>
      <c r="F268" s="32" t="n">
        <v>2000000</v>
      </c>
      <c r="G268" s="33" t="n"/>
      <c r="H268" s="32">
        <f>IF(AND(ISNUMBER(F268),ISNUMBER(G268)),G268-F268,"")</f>
        <v/>
      </c>
      <c r="I268" s="16">
        <f>IF(COUNTBLANK(G268)=1,"Não executado",IF(ISNUMBER(F268)&lt;&gt;ISNUMBER(G268),"Tipo incompatível",IF(IF(E268="&lt;&gt;",G268&lt;&gt;F268,G268=F268),IF(OR(J268="",K268="",NOT(ISNUMBER(L268)),L268&lt;=0),"Evidência pendente","Compatível"),"Divergente")))</f>
        <v/>
      </c>
      <c r="J268" s="12" t="str"/>
      <c r="K268" s="12" t="str"/>
      <c r="L268" s="28" t="n"/>
      <c r="M268" s="16" t="str"/>
      <c r="N268" s="16" t="str"/>
      <c r="O268" s="16" t="str"/>
      <c r="P268" s="16" t="str"/>
      <c r="Q268" s="16" t="str"/>
    </row>
    <row r="269" ht="42" customHeight="1">
      <c r="A269" s="16" t="inlineStr">
        <is>
          <t>CT22</t>
        </is>
      </c>
      <c r="B269" s="16" t="inlineStr">
        <is>
          <t>advance_available_after_application_cents</t>
        </is>
      </c>
      <c r="C269" s="16" t="inlineStr">
        <is>
          <t>§8.2, §8.5, I09, I16, I17, I18</t>
        </is>
      </c>
      <c r="D269" s="16" t="inlineStr">
        <is>
          <t>centavos BRL</t>
        </is>
      </c>
      <c r="E269" s="16" t="inlineStr">
        <is>
          <t>=</t>
        </is>
      </c>
      <c r="F269" s="32" t="n">
        <v>0</v>
      </c>
      <c r="G269" s="33" t="n"/>
      <c r="H269" s="32">
        <f>IF(AND(ISNUMBER(F269),ISNUMBER(G269)),G269-F269,"")</f>
        <v/>
      </c>
      <c r="I269" s="16">
        <f>IF(COUNTBLANK(G269)=1,"Não executado",IF(ISNUMBER(F269)&lt;&gt;ISNUMBER(G269),"Tipo incompatível",IF(IF(E269="&lt;&gt;",G269&lt;&gt;F269,G269=F269),IF(OR(J269="",K269="",NOT(ISNUMBER(L269)),L269&lt;=0),"Evidência pendente","Compatível"),"Divergente")))</f>
        <v/>
      </c>
      <c r="J269" s="12" t="str"/>
      <c r="K269" s="12" t="str"/>
      <c r="L269" s="28" t="n"/>
      <c r="M269" s="16" t="str"/>
      <c r="N269" s="16" t="str"/>
      <c r="O269" s="16" t="str"/>
      <c r="P269" s="16" t="str"/>
      <c r="Q269" s="16" t="str"/>
    </row>
    <row r="270" ht="42" customHeight="1">
      <c r="A270" s="16" t="inlineStr">
        <is>
          <t>CT22</t>
        </is>
      </c>
      <c r="B270" s="16" t="inlineStr">
        <is>
          <t>open_receivable_cents</t>
        </is>
      </c>
      <c r="C270" s="16" t="inlineStr">
        <is>
          <t>§8.2, §8.5, I09, I16, I17, I18</t>
        </is>
      </c>
      <c r="D270" s="16" t="inlineStr">
        <is>
          <t>centavos BRL</t>
        </is>
      </c>
      <c r="E270" s="16" t="inlineStr">
        <is>
          <t>=</t>
        </is>
      </c>
      <c r="F270" s="32" t="n">
        <v>2000000</v>
      </c>
      <c r="G270" s="33" t="n"/>
      <c r="H270" s="32">
        <f>IF(AND(ISNUMBER(F270),ISNUMBER(G270)),G270-F270,"")</f>
        <v/>
      </c>
      <c r="I270" s="16">
        <f>IF(COUNTBLANK(G270)=1,"Não executado",IF(ISNUMBER(F270)&lt;&gt;ISNUMBER(G270),"Tipo incompatível",IF(IF(E270="&lt;&gt;",G270&lt;&gt;F270,G270=F270),IF(OR(J270="",K270="",NOT(ISNUMBER(L270)),L270&lt;=0),"Evidência pendente","Compatível"),"Divergente")))</f>
        <v/>
      </c>
      <c r="J270" s="12" t="str"/>
      <c r="K270" s="12" t="str"/>
      <c r="L270" s="28" t="n"/>
      <c r="M270" s="16" t="str"/>
      <c r="N270" s="16" t="str"/>
      <c r="O270" s="16" t="str"/>
      <c r="P270" s="16" t="str"/>
      <c r="Q270" s="16" t="str"/>
    </row>
    <row r="271" ht="42" customHeight="1">
      <c r="A271" s="16" t="inlineStr">
        <is>
          <t>CT22</t>
        </is>
      </c>
      <c r="B271" s="16" t="inlineStr">
        <is>
          <t>contract_future_not_issued_cents</t>
        </is>
      </c>
      <c r="C271" s="16" t="inlineStr">
        <is>
          <t>§8.2, §8.5, I09, I16, I17, I18</t>
        </is>
      </c>
      <c r="D271" s="16" t="inlineStr">
        <is>
          <t>centavos BRL</t>
        </is>
      </c>
      <c r="E271" s="16" t="inlineStr">
        <is>
          <t>=</t>
        </is>
      </c>
      <c r="F271" s="32" t="n">
        <v>6000000</v>
      </c>
      <c r="G271" s="33" t="n"/>
      <c r="H271" s="32">
        <f>IF(AND(ISNUMBER(F271),ISNUMBER(G271)),G271-F271,"")</f>
        <v/>
      </c>
      <c r="I271" s="16">
        <f>IF(COUNTBLANK(G271)=1,"Não executado",IF(ISNUMBER(F271)&lt;&gt;ISNUMBER(G271),"Tipo incompatível",IF(IF(E271="&lt;&gt;",G271&lt;&gt;F271,G271=F271),IF(OR(J271="",K271="",NOT(ISNUMBER(L271)),L271&lt;=0),"Evidência pendente","Compatível"),"Divergente")))</f>
        <v/>
      </c>
      <c r="J271" s="12" t="str"/>
      <c r="K271" s="12" t="str"/>
      <c r="L271" s="28" t="n"/>
      <c r="M271" s="16" t="str"/>
      <c r="N271" s="16" t="str"/>
      <c r="O271" s="16" t="str"/>
      <c r="P271" s="16" t="str"/>
      <c r="Q271" s="16" t="str"/>
    </row>
    <row r="272" ht="42" customHeight="1">
      <c r="A272" s="16" t="inlineStr">
        <is>
          <t>CT22</t>
        </is>
      </c>
      <c r="B272" s="16" t="inlineStr">
        <is>
          <t>I18_future_inflow_cents</t>
        </is>
      </c>
      <c r="C272" s="16" t="inlineStr">
        <is>
          <t>§8.2, §8.5, I09, I16, I17, I18</t>
        </is>
      </c>
      <c r="D272" s="16" t="inlineStr">
        <is>
          <t>centavos BRL</t>
        </is>
      </c>
      <c r="E272" s="16" t="inlineStr">
        <is>
          <t>=</t>
        </is>
      </c>
      <c r="F272" s="32" t="n">
        <v>8000000</v>
      </c>
      <c r="G272" s="33" t="n"/>
      <c r="H272" s="32">
        <f>IF(AND(ISNUMBER(F272),ISNUMBER(G272)),G272-F272,"")</f>
        <v/>
      </c>
      <c r="I272" s="16">
        <f>IF(COUNTBLANK(G272)=1,"Não executado",IF(ISNUMBER(F272)&lt;&gt;ISNUMBER(G272),"Tipo incompatível",IF(IF(E272="&lt;&gt;",G272&lt;&gt;F272,G272=F272),IF(OR(J272="",K272="",NOT(ISNUMBER(L272)),L272&lt;=0),"Evidência pendente","Compatível"),"Divergente")))</f>
        <v/>
      </c>
      <c r="J272" s="12" t="str"/>
      <c r="K272" s="12" t="str"/>
      <c r="L272" s="28" t="n"/>
      <c r="M272" s="16" t="str"/>
      <c r="N272" s="16" t="str"/>
      <c r="O272" s="16" t="str"/>
      <c r="P272" s="16" t="str"/>
      <c r="Q272" s="16" t="str"/>
    </row>
    <row r="273" ht="42" customHeight="1">
      <c r="A273" s="16" t="inlineStr">
        <is>
          <t>CT22</t>
        </is>
      </c>
      <c r="B273" s="16" t="inlineStr">
        <is>
          <t>cash_created_by_application_cents</t>
        </is>
      </c>
      <c r="C273" s="16" t="inlineStr">
        <is>
          <t>§8.2, §8.5, I09, I16, I17, I18</t>
        </is>
      </c>
      <c r="D273" s="16" t="inlineStr">
        <is>
          <t>centavos BRL</t>
        </is>
      </c>
      <c r="E273" s="16" t="inlineStr">
        <is>
          <t>=</t>
        </is>
      </c>
      <c r="F273" s="32" t="n">
        <v>0</v>
      </c>
      <c r="G273" s="33" t="n"/>
      <c r="H273" s="32">
        <f>IF(AND(ISNUMBER(F273),ISNUMBER(G273)),G273-F273,"")</f>
        <v/>
      </c>
      <c r="I273" s="16">
        <f>IF(COUNTBLANK(G273)=1,"Não executado",IF(ISNUMBER(F273)&lt;&gt;ISNUMBER(G273),"Tipo incompatível",IF(IF(E273="&lt;&gt;",G273&lt;&gt;F273,G273=F273),IF(OR(J273="",K273="",NOT(ISNUMBER(L273)),L273&lt;=0),"Evidência pendente","Compatível"),"Divergente")))</f>
        <v/>
      </c>
      <c r="J273" s="12" t="str"/>
      <c r="K273" s="12" t="str"/>
      <c r="L273" s="28" t="n"/>
      <c r="M273" s="16" t="str"/>
      <c r="N273" s="16" t="str"/>
      <c r="O273" s="16" t="str"/>
      <c r="P273" s="16" t="str"/>
      <c r="Q273" s="16" t="str"/>
    </row>
    <row r="274" ht="42" customHeight="1">
      <c r="A274" s="16" t="inlineStr">
        <is>
          <t>CT22</t>
        </is>
      </c>
      <c r="B274" s="16" t="inlineStr">
        <is>
          <t>automatic_revenue_cents</t>
        </is>
      </c>
      <c r="C274" s="16" t="inlineStr">
        <is>
          <t>§8.2, §8.5, I09, I16, I17, I18</t>
        </is>
      </c>
      <c r="D274" s="16" t="inlineStr">
        <is>
          <t>centavos BRL</t>
        </is>
      </c>
      <c r="E274" s="16" t="inlineStr">
        <is>
          <t>=</t>
        </is>
      </c>
      <c r="F274" s="32" t="n">
        <v>0</v>
      </c>
      <c r="G274" s="33" t="n"/>
      <c r="H274" s="32">
        <f>IF(AND(ISNUMBER(F274),ISNUMBER(G274)),G274-F274,"")</f>
        <v/>
      </c>
      <c r="I274" s="16">
        <f>IF(COUNTBLANK(G274)=1,"Não executado",IF(ISNUMBER(F274)&lt;&gt;ISNUMBER(G274),"Tipo incompatível",IF(IF(E274="&lt;&gt;",G274&lt;&gt;F274,G274=F274),IF(OR(J274="",K274="",NOT(ISNUMBER(L274)),L274&lt;=0),"Evidência pendente","Compatível"),"Divergente")))</f>
        <v/>
      </c>
      <c r="J274" s="12" t="str"/>
      <c r="K274" s="12" t="str"/>
      <c r="L274" s="28" t="n"/>
      <c r="M274" s="16" t="str"/>
      <c r="N274" s="16" t="str"/>
      <c r="O274" s="16" t="str"/>
      <c r="P274" s="16" t="str"/>
      <c r="Q274" s="16" t="str"/>
    </row>
    <row r="275" ht="112" customHeight="1">
      <c r="A275" s="20" t="inlineStr">
        <is>
          <t>CT23</t>
        </is>
      </c>
      <c r="B275" s="20" t="inlineStr">
        <is>
          <t>after_P1_A_open_cents</t>
        </is>
      </c>
      <c r="C275" s="20" t="inlineStr">
        <is>
          <t>§4, §8.1, I02, I03</t>
        </is>
      </c>
      <c r="D275" s="20" t="inlineStr">
        <is>
          <t>centavos BRL</t>
        </is>
      </c>
      <c r="E275" s="20" t="inlineStr">
        <is>
          <t>=</t>
        </is>
      </c>
      <c r="F275" s="29" t="n">
        <v>400000</v>
      </c>
      <c r="G275" s="30" t="n"/>
      <c r="H275" s="29">
        <f>IF(AND(ISNUMBER(F275),ISNUMBER(G275)),G275-F275,"")</f>
        <v/>
      </c>
      <c r="I275" s="20">
        <f>IF(COUNTBLANK(G275)=1,"Não executado",IF(ISNUMBER(F275)&lt;&gt;ISNUMBER(G275),"Tipo incompatível",IF(IF(E275="&lt;&gt;",G275&lt;&gt;F275,G275=F275),IF(OR(J275="",K275="",NOT(ISNUMBER(L275)),L275&lt;=0),"Evidência pendente","Compatível"),"Divergente")))</f>
        <v/>
      </c>
      <c r="J275" s="23" t="str"/>
      <c r="K275" s="23" t="str"/>
      <c r="L275" s="31" t="n"/>
      <c r="M275" s="20" t="inlineStr">
        <is>
          <t>Pagamento agrupado em vários títulos e múltiplas liquidações</t>
        </is>
      </c>
      <c r="N275" s="20" t="inlineStr">
        <is>
          <t>{"title_A_cents": 800000, "title_B_cents": 1200000, "payment_1": {"bank_cents": 1000000, "allocation_A_cents": 400000, "allocation_B_cents": 600000}, "payment_2": {"bank_cents": 600000, "allocation_A_cents": 400000, "allocation_B_cents": 200000}}</t>
        </is>
      </c>
      <c r="O275" s="20" t="inlineStr">
        <is>
          <t>Liquidar P1 nos dois títulos e conciliar com um único débito bancário.
Liquidar P2 e conciliar outro débito.
Reimportar os dois movimentos.</t>
        </is>
      </c>
      <c r="P275" s="20" t="inlineStr">
        <is>
          <t>P1: 4.000,00+6.000,00=10.000,00. P2: 4.000,00+2.000,00=6.000,00.
Saldo final=(8.000,00+12.000,00)−(10.000,00+6.000,00)=4.000,00.</t>
        </is>
      </c>
      <c r="Q275" s="20" t="inlineStr">
        <is>
          <t>D06: todas as alocações são de principal, sem encargos nem tarifas. Cada banco tem ID único.
Número de alocações não determina número de pagamentos nem soma de caixa. Sobre-alocação é rejeitada com zero alteração persistida.</t>
        </is>
      </c>
    </row>
    <row r="276" ht="42" customHeight="1">
      <c r="A276" s="16" t="inlineStr">
        <is>
          <t>CT23</t>
        </is>
      </c>
      <c r="B276" s="16" t="inlineStr">
        <is>
          <t>after_P1_B_open_cents</t>
        </is>
      </c>
      <c r="C276" s="16" t="inlineStr">
        <is>
          <t>§4, §8.1, I02, I03</t>
        </is>
      </c>
      <c r="D276" s="16" t="inlineStr">
        <is>
          <t>centavos BRL</t>
        </is>
      </c>
      <c r="E276" s="16" t="inlineStr">
        <is>
          <t>=</t>
        </is>
      </c>
      <c r="F276" s="32" t="n">
        <v>600000</v>
      </c>
      <c r="G276" s="33" t="n"/>
      <c r="H276" s="32">
        <f>IF(AND(ISNUMBER(F276),ISNUMBER(G276)),G276-F276,"")</f>
        <v/>
      </c>
      <c r="I276" s="16">
        <f>IF(COUNTBLANK(G276)=1,"Não executado",IF(ISNUMBER(F276)&lt;&gt;ISNUMBER(G276),"Tipo incompatível",IF(IF(E276="&lt;&gt;",G276&lt;&gt;F276,G276=F276),IF(OR(J276="",K276="",NOT(ISNUMBER(L276)),L276&lt;=0),"Evidência pendente","Compatível"),"Divergente")))</f>
        <v/>
      </c>
      <c r="J276" s="12" t="str"/>
      <c r="K276" s="12" t="str"/>
      <c r="L276" s="28" t="n"/>
      <c r="M276" s="16" t="str"/>
      <c r="N276" s="16" t="str"/>
      <c r="O276" s="16" t="str"/>
      <c r="P276" s="16" t="str"/>
      <c r="Q276" s="16" t="str"/>
    </row>
    <row r="277" ht="42" customHeight="1">
      <c r="A277" s="16" t="inlineStr">
        <is>
          <t>CT23</t>
        </is>
      </c>
      <c r="B277" s="16" t="inlineStr">
        <is>
          <t>final_A_open_cents</t>
        </is>
      </c>
      <c r="C277" s="16" t="inlineStr">
        <is>
          <t>§4, §8.1, I02, I03</t>
        </is>
      </c>
      <c r="D277" s="16" t="inlineStr">
        <is>
          <t>centavos BRL</t>
        </is>
      </c>
      <c r="E277" s="16" t="inlineStr">
        <is>
          <t>=</t>
        </is>
      </c>
      <c r="F277" s="32" t="n">
        <v>0</v>
      </c>
      <c r="G277" s="33" t="n"/>
      <c r="H277" s="32">
        <f>IF(AND(ISNUMBER(F277),ISNUMBER(G277)),G277-F277,"")</f>
        <v/>
      </c>
      <c r="I277" s="16">
        <f>IF(COUNTBLANK(G277)=1,"Não executado",IF(ISNUMBER(F277)&lt;&gt;ISNUMBER(G277),"Tipo incompatível",IF(IF(E277="&lt;&gt;",G277&lt;&gt;F277,G277=F277),IF(OR(J277="",K277="",NOT(ISNUMBER(L277)),L277&lt;=0),"Evidência pendente","Compatível"),"Divergente")))</f>
        <v/>
      </c>
      <c r="J277" s="12" t="str"/>
      <c r="K277" s="12" t="str"/>
      <c r="L277" s="28" t="n"/>
      <c r="M277" s="16" t="str"/>
      <c r="N277" s="16" t="str"/>
      <c r="O277" s="16" t="str"/>
      <c r="P277" s="16" t="str"/>
      <c r="Q277" s="16" t="str"/>
    </row>
    <row r="278" ht="42" customHeight="1">
      <c r="A278" s="16" t="inlineStr">
        <is>
          <t>CT23</t>
        </is>
      </c>
      <c r="B278" s="16" t="inlineStr">
        <is>
          <t>final_B_open_cents</t>
        </is>
      </c>
      <c r="C278" s="16" t="inlineStr">
        <is>
          <t>§4, §8.1, I02, I03</t>
        </is>
      </c>
      <c r="D278" s="16" t="inlineStr">
        <is>
          <t>centavos BRL</t>
        </is>
      </c>
      <c r="E278" s="16" t="inlineStr">
        <is>
          <t>=</t>
        </is>
      </c>
      <c r="F278" s="32" t="n">
        <v>400000</v>
      </c>
      <c r="G278" s="33" t="n"/>
      <c r="H278" s="32">
        <f>IF(AND(ISNUMBER(F278),ISNUMBER(G278)),G278-F278,"")</f>
        <v/>
      </c>
      <c r="I278" s="16">
        <f>IF(COUNTBLANK(G278)=1,"Não executado",IF(ISNUMBER(F278)&lt;&gt;ISNUMBER(G278),"Tipo incompatível",IF(IF(E278="&lt;&gt;",G278&lt;&gt;F278,G278=F278),IF(OR(J278="",K278="",NOT(ISNUMBER(L278)),L278&lt;=0),"Evidência pendente","Compatível"),"Divergente")))</f>
        <v/>
      </c>
      <c r="J278" s="12" t="str"/>
      <c r="K278" s="12" t="str"/>
      <c r="L278" s="28" t="n"/>
      <c r="M278" s="16" t="str"/>
      <c r="N278" s="16" t="str"/>
      <c r="O278" s="16" t="str"/>
      <c r="P278" s="16" t="str"/>
      <c r="Q278" s="16" t="str"/>
    </row>
    <row r="279" ht="42" customHeight="1">
      <c r="A279" s="16" t="inlineStr">
        <is>
          <t>CT23</t>
        </is>
      </c>
      <c r="B279" s="16" t="inlineStr">
        <is>
          <t>final_I03_cents</t>
        </is>
      </c>
      <c r="C279" s="16" t="inlineStr">
        <is>
          <t>§4, §8.1, I02, I03</t>
        </is>
      </c>
      <c r="D279" s="16" t="inlineStr">
        <is>
          <t>centavos BRL</t>
        </is>
      </c>
      <c r="E279" s="16" t="inlineStr">
        <is>
          <t>=</t>
        </is>
      </c>
      <c r="F279" s="32" t="n">
        <v>400000</v>
      </c>
      <c r="G279" s="33" t="n"/>
      <c r="H279" s="32">
        <f>IF(AND(ISNUMBER(F279),ISNUMBER(G279)),G279-F279,"")</f>
        <v/>
      </c>
      <c r="I279" s="16">
        <f>IF(COUNTBLANK(G279)=1,"Não executado",IF(ISNUMBER(F279)&lt;&gt;ISNUMBER(G279),"Tipo incompatível",IF(IF(E279="&lt;&gt;",G279&lt;&gt;F279,G279=F279),IF(OR(J279="",K279="",NOT(ISNUMBER(L279)),L279&lt;=0),"Evidência pendente","Compatível"),"Divergente")))</f>
        <v/>
      </c>
      <c r="J279" s="12" t="str"/>
      <c r="K279" s="12" t="str"/>
      <c r="L279" s="28" t="n"/>
      <c r="M279" s="16" t="str"/>
      <c r="N279" s="16" t="str"/>
      <c r="O279" s="16" t="str"/>
      <c r="P279" s="16" t="str"/>
      <c r="Q279" s="16" t="str"/>
    </row>
    <row r="280" ht="42" customHeight="1">
      <c r="A280" s="16" t="inlineStr">
        <is>
          <t>CT23</t>
        </is>
      </c>
      <c r="B280" s="16" t="inlineStr">
        <is>
          <t>I02_cash_cents</t>
        </is>
      </c>
      <c r="C280" s="16" t="inlineStr">
        <is>
          <t>§4, §8.1, I02, I03</t>
        </is>
      </c>
      <c r="D280" s="16" t="inlineStr">
        <is>
          <t>centavos BRL</t>
        </is>
      </c>
      <c r="E280" s="16" t="inlineStr">
        <is>
          <t>=</t>
        </is>
      </c>
      <c r="F280" s="32" t="n">
        <v>1600000</v>
      </c>
      <c r="G280" s="33" t="n"/>
      <c r="H280" s="32">
        <f>IF(AND(ISNUMBER(F280),ISNUMBER(G280)),G280-F280,"")</f>
        <v/>
      </c>
      <c r="I280" s="16">
        <f>IF(COUNTBLANK(G280)=1,"Não executado",IF(ISNUMBER(F280)&lt;&gt;ISNUMBER(G280),"Tipo incompatível",IF(IF(E280="&lt;&gt;",G280&lt;&gt;F280,G280=F280),IF(OR(J280="",K280="",NOT(ISNUMBER(L280)),L280&lt;=0),"Evidência pendente","Compatível"),"Divergente")))</f>
        <v/>
      </c>
      <c r="J280" s="12" t="str"/>
      <c r="K280" s="12" t="str"/>
      <c r="L280" s="28" t="n"/>
      <c r="M280" s="16" t="str"/>
      <c r="N280" s="16" t="str"/>
      <c r="O280" s="16" t="str"/>
      <c r="P280" s="16" t="str"/>
      <c r="Q280" s="16" t="str"/>
    </row>
    <row r="281" ht="42" customHeight="1">
      <c r="A281" s="16" t="inlineStr">
        <is>
          <t>CT23</t>
        </is>
      </c>
      <c r="B281" s="16" t="inlineStr">
        <is>
          <t>unique_bank_debits</t>
        </is>
      </c>
      <c r="C281" s="16" t="inlineStr">
        <is>
          <t>§4, §8.1, I02, I03</t>
        </is>
      </c>
      <c r="D281" s="16" t="inlineStr">
        <is>
          <t>número</t>
        </is>
      </c>
      <c r="E281" s="16" t="inlineStr">
        <is>
          <t>=</t>
        </is>
      </c>
      <c r="F281" s="32" t="n">
        <v>2</v>
      </c>
      <c r="G281" s="33" t="n"/>
      <c r="H281" s="32">
        <f>IF(AND(ISNUMBER(F281),ISNUMBER(G281)),G281-F281,"")</f>
        <v/>
      </c>
      <c r="I281" s="16">
        <f>IF(COUNTBLANK(G281)=1,"Não executado",IF(ISNUMBER(F281)&lt;&gt;ISNUMBER(G281),"Tipo incompatível",IF(IF(E281="&lt;&gt;",G281&lt;&gt;F281,G281=F281),IF(OR(J281="",K281="",NOT(ISNUMBER(L281)),L281&lt;=0),"Evidência pendente","Compatível"),"Divergente")))</f>
        <v/>
      </c>
      <c r="J281" s="12" t="str"/>
      <c r="K281" s="12" t="str"/>
      <c r="L281" s="28" t="n"/>
      <c r="M281" s="16" t="str"/>
      <c r="N281" s="16" t="str"/>
      <c r="O281" s="16" t="str"/>
      <c r="P281" s="16" t="str"/>
      <c r="Q281" s="16" t="str"/>
    </row>
    <row r="282" ht="42" customHeight="1">
      <c r="A282" s="16" t="inlineStr">
        <is>
          <t>CT23</t>
        </is>
      </c>
      <c r="B282" s="16" t="inlineStr">
        <is>
          <t>new_cash_from_reimport_cents</t>
        </is>
      </c>
      <c r="C282" s="16" t="inlineStr">
        <is>
          <t>§4, §8.1, I02, I03</t>
        </is>
      </c>
      <c r="D282" s="16" t="inlineStr">
        <is>
          <t>centavos BRL</t>
        </is>
      </c>
      <c r="E282" s="16" t="inlineStr">
        <is>
          <t>=</t>
        </is>
      </c>
      <c r="F282" s="32" t="n">
        <v>0</v>
      </c>
      <c r="G282" s="33" t="n"/>
      <c r="H282" s="32">
        <f>IF(AND(ISNUMBER(F282),ISNUMBER(G282)),G282-F282,"")</f>
        <v/>
      </c>
      <c r="I282" s="16">
        <f>IF(COUNTBLANK(G282)=1,"Não executado",IF(ISNUMBER(F282)&lt;&gt;ISNUMBER(G282),"Tipo incompatível",IF(IF(E282="&lt;&gt;",G282&lt;&gt;F282,G282=F282),IF(OR(J282="",K282="",NOT(ISNUMBER(L282)),L282&lt;=0),"Evidência pendente","Compatível"),"Divergente")))</f>
        <v/>
      </c>
      <c r="J282" s="12" t="str"/>
      <c r="K282" s="12" t="str"/>
      <c r="L282" s="28" t="n"/>
      <c r="M282" s="16" t="str"/>
      <c r="N282" s="16" t="str"/>
      <c r="O282" s="16" t="str"/>
      <c r="P282" s="16" t="str"/>
      <c r="Q282" s="16" t="str"/>
    </row>
    <row r="283" ht="224" customHeight="1">
      <c r="A283" s="20" t="inlineStr">
        <is>
          <t>CT24</t>
        </is>
      </c>
      <c r="B283" s="20" t="inlineStr">
        <is>
          <t>canonical_title_count_all_organizations</t>
        </is>
      </c>
      <c r="C283" s="20" t="inlineStr">
        <is>
          <t>§4, §11, §14 item 13, D02, D13</t>
        </is>
      </c>
      <c r="D283" s="20" t="inlineStr">
        <is>
          <t>número</t>
        </is>
      </c>
      <c r="E283" s="20" t="inlineStr">
        <is>
          <t>=</t>
        </is>
      </c>
      <c r="F283" s="29" t="n">
        <v>3</v>
      </c>
      <c r="G283" s="30" t="n"/>
      <c r="H283" s="29">
        <f>IF(AND(ISNUMBER(F283),ISNUMBER(G283)),G283-F283,"")</f>
        <v/>
      </c>
      <c r="I283" s="20">
        <f>IF(COUNTBLANK(G283)=1,"Não executado",IF(ISNUMBER(F283)&lt;&gt;ISNUMBER(G283),"Tipo incompatível",IF(IF(E283="&lt;&gt;",G283&lt;&gt;F283,G283=F283),IF(OR(J283="",K283="",NOT(ISNUMBER(L283)),L283&lt;=0),"Evidência pendente","Compatível"),"Divergente")))</f>
        <v/>
      </c>
      <c r="J283" s="23" t="str"/>
      <c r="K283" s="23" t="str"/>
      <c r="L283" s="31" t="n"/>
      <c r="M283" s="20" t="inlineStr">
        <is>
          <t>Isolamento entre organizações e autorização entre empresas</t>
        </is>
      </c>
      <c r="N283" s="20" t="inlineStr">
        <is>
          <t>{"ORG_A": {"titles": [{"source": "KOPER_TEST", "external_title_id": "77", "title_cents": 100000, "entity": "A1", "obra": "OA1"}, {"source": "KOPER_TEST", "external_title_id": "79", "title_cents": 300000, "entity": "A2", "obra": "OA2"}]}, "ORG_B": {"source": "KOPER_TEST", "external_title_id": "77", "title_cents": 900000, "entity": "B1", "obra": "OB"}, "user_permissions": {"UA": ["ORG_A: A1: read", "ORG_A: A1: write"], "UB": ["ORG_B: B1: read", "ORG_B: B1: write"], "UR": ["ORG_A: A1: read"], "UG": ["ORG_A: A1: read", "ORG_A: A2: read", "ORG_B: B1: read"]}}</t>
        </is>
      </c>
      <c r="O283" s="20" t="inlineStr">
        <is>
          <t>Importar os IDs 77 e 79 em ORG_A e o outro ID 77 em ORG_B, em seus contextos autorizados.
Como UA, testar lista, detalhe por ID, total, exportação, IA e acesso direto aos anexos da ORG_B e da entidade A2 dentro da própria ORG_A.
Como UA, forjar organization_id, entity_id, obra_id e vínculo de título da ORG_B ou A2 em mutações/importações, inclusive vínculo de título A1 a contrato A2.
Como UR, tentar alteração.
Como UG, alternar contexto organização e entidade A1/A2/B1 e repetir consultas/cache/jobs/exportações. Para consolidar A1+A2, escolher explicitamente esse perímetro autorizado.</t>
        </is>
      </c>
      <c r="P283" s="20" t="inlineStr">
        <is>
          <t>A soma autorizada de UA é 1.000,00. Os 3.000,00 da entidade A2 e os 9.000,00 da ORG_B nunca aparecem em seu total, detalhes, contagens, exportações, cache ou texto da IA. UG pode consolidar A1+A2 em 1.000,00+3.000,00=4.000,00 apenas no perímetro autorizado.</t>
        </is>
      </c>
      <c r="Q283" s="20" t="inlineStr">
        <is>
          <t>Contrato de teste de acesso: usuário UA pode ler/escrever apenas ORG_A e entidade A1, sem acesso à A2; UB apenas ORG_B/B1; usuário UR em ORG_A/A1 somente leitura. Usuário UG tem acesso explícito às duas organizações e às três entidades. Autorizações decorrem do servidor, nunca só do filtro da tela.
Detalhe não autorizado retorna negação consistente (403 ou 404 conforme contrato adotado), sem conteúdo financeiro.
IDs externos iguais em organizações distintas não colidem. Importação não pode criar ligação entre objetos de organizações diferentes.
Capturar logs/respostas sem conteúdo privado da outra organização e confirmar zero alterações após tentativas.
A contagem global de três títulos é verificada apenas pelo harness administrativo; nunca retorna ao usuário UA.
{"path":"UA_visible_total_cents","operator":"not_equal","forbidden_value":400000}
{"path":"UA_visible_total_cents","operator":"not_equal","forbidden_value":1300000}</t>
        </is>
      </c>
    </row>
    <row r="284" ht="42" customHeight="1">
      <c r="A284" s="16" t="inlineStr">
        <is>
          <t>CT24</t>
        </is>
      </c>
      <c r="B284" s="16" t="inlineStr">
        <is>
          <t>UA_visible_total_cents</t>
        </is>
      </c>
      <c r="C284" s="16" t="inlineStr">
        <is>
          <t>§4, §11, §14 item 13, D02, D13</t>
        </is>
      </c>
      <c r="D284" s="16" t="inlineStr">
        <is>
          <t>centavos BRL</t>
        </is>
      </c>
      <c r="E284" s="16" t="inlineStr">
        <is>
          <t>=</t>
        </is>
      </c>
      <c r="F284" s="32" t="n">
        <v>100000</v>
      </c>
      <c r="G284" s="33" t="n"/>
      <c r="H284" s="32">
        <f>IF(AND(ISNUMBER(F284),ISNUMBER(G284)),G284-F284,"")</f>
        <v/>
      </c>
      <c r="I284" s="16">
        <f>IF(COUNTBLANK(G284)=1,"Não executado",IF(ISNUMBER(F284)&lt;&gt;ISNUMBER(G284),"Tipo incompatível",IF(IF(E284="&lt;&gt;",G284&lt;&gt;F284,G284=F284),IF(OR(J284="",K284="",NOT(ISNUMBER(L284)),L284&lt;=0),"Evidência pendente","Compatível"),"Divergente")))</f>
        <v/>
      </c>
      <c r="J284" s="12" t="str"/>
      <c r="K284" s="12" t="str"/>
      <c r="L284" s="28" t="n"/>
      <c r="M284" s="16" t="str"/>
      <c r="N284" s="16" t="str"/>
      <c r="O284" s="16" t="str"/>
      <c r="P284" s="16" t="str"/>
      <c r="Q284" s="16" t="str"/>
    </row>
    <row r="285" ht="42" customHeight="1">
      <c r="A285" s="16" t="inlineStr">
        <is>
          <t>CT24</t>
        </is>
      </c>
      <c r="B285" s="16" t="inlineStr">
        <is>
          <t>UB_visible_total_cents</t>
        </is>
      </c>
      <c r="C285" s="16" t="inlineStr">
        <is>
          <t>§4, §11, §14 item 13, D02, D13</t>
        </is>
      </c>
      <c r="D285" s="16" t="inlineStr">
        <is>
          <t>centavos BRL</t>
        </is>
      </c>
      <c r="E285" s="16" t="inlineStr">
        <is>
          <t>=</t>
        </is>
      </c>
      <c r="F285" s="32" t="n">
        <v>900000</v>
      </c>
      <c r="G285" s="33" t="n"/>
      <c r="H285" s="32">
        <f>IF(AND(ISNUMBER(F285),ISNUMBER(G285)),G285-F285,"")</f>
        <v/>
      </c>
      <c r="I285" s="16">
        <f>IF(COUNTBLANK(G285)=1,"Não executado",IF(ISNUMBER(F285)&lt;&gt;ISNUMBER(G285),"Tipo incompatível",IF(IF(E285="&lt;&gt;",G285&lt;&gt;F285,G285=F285),IF(OR(J285="",K285="",NOT(ISNUMBER(L285)),L285&lt;=0),"Evidência pendente","Compatível"),"Divergente")))</f>
        <v/>
      </c>
      <c r="J285" s="12" t="str"/>
      <c r="K285" s="12" t="str"/>
      <c r="L285" s="28" t="n"/>
      <c r="M285" s="16" t="str"/>
      <c r="N285" s="16" t="str"/>
      <c r="O285" s="16" t="str"/>
      <c r="P285" s="16" t="str"/>
      <c r="Q285" s="16" t="str"/>
    </row>
    <row r="286" ht="42" customHeight="1">
      <c r="A286" s="16" t="inlineStr">
        <is>
          <t>CT24</t>
        </is>
      </c>
      <c r="B286" s="16" t="inlineStr">
        <is>
          <t>UG_A1_context_total_cents</t>
        </is>
      </c>
      <c r="C286" s="16" t="inlineStr">
        <is>
          <t>§4, §11, §14 item 13, D02, D13</t>
        </is>
      </c>
      <c r="D286" s="16" t="inlineStr">
        <is>
          <t>centavos BRL</t>
        </is>
      </c>
      <c r="E286" s="16" t="inlineStr">
        <is>
          <t>=</t>
        </is>
      </c>
      <c r="F286" s="32" t="n">
        <v>100000</v>
      </c>
      <c r="G286" s="33" t="n"/>
      <c r="H286" s="32">
        <f>IF(AND(ISNUMBER(F286),ISNUMBER(G286)),G286-F286,"")</f>
        <v/>
      </c>
      <c r="I286" s="16">
        <f>IF(COUNTBLANK(G286)=1,"Não executado",IF(ISNUMBER(F286)&lt;&gt;ISNUMBER(G286),"Tipo incompatível",IF(IF(E286="&lt;&gt;",G286&lt;&gt;F286,G286=F286),IF(OR(J286="",K286="",NOT(ISNUMBER(L286)),L286&lt;=0),"Evidência pendente","Compatível"),"Divergente")))</f>
        <v/>
      </c>
      <c r="J286" s="12" t="str"/>
      <c r="K286" s="12" t="str"/>
      <c r="L286" s="28" t="n"/>
      <c r="M286" s="16" t="str"/>
      <c r="N286" s="16" t="str"/>
      <c r="O286" s="16" t="str"/>
      <c r="P286" s="16" t="str"/>
      <c r="Q286" s="16" t="str"/>
    </row>
    <row r="287" ht="42" customHeight="1">
      <c r="A287" s="16" t="inlineStr">
        <is>
          <t>CT24</t>
        </is>
      </c>
      <c r="B287" s="16" t="inlineStr">
        <is>
          <t>UG_A2_context_total_cents</t>
        </is>
      </c>
      <c r="C287" s="16" t="inlineStr">
        <is>
          <t>§4, §11, §14 item 13, D02, D13</t>
        </is>
      </c>
      <c r="D287" s="16" t="inlineStr">
        <is>
          <t>centavos BRL</t>
        </is>
      </c>
      <c r="E287" s="16" t="inlineStr">
        <is>
          <t>=</t>
        </is>
      </c>
      <c r="F287" s="32" t="n">
        <v>300000</v>
      </c>
      <c r="G287" s="33" t="n"/>
      <c r="H287" s="32">
        <f>IF(AND(ISNUMBER(F287),ISNUMBER(G287)),G287-F287,"")</f>
        <v/>
      </c>
      <c r="I287" s="16">
        <f>IF(COUNTBLANK(G287)=1,"Não executado",IF(ISNUMBER(F287)&lt;&gt;ISNUMBER(G287),"Tipo incompatível",IF(IF(E287="&lt;&gt;",G287&lt;&gt;F287,G287=F287),IF(OR(J287="",K287="",NOT(ISNUMBER(L287)),L287&lt;=0),"Evidência pendente","Compatível"),"Divergente")))</f>
        <v/>
      </c>
      <c r="J287" s="12" t="str"/>
      <c r="K287" s="12" t="str"/>
      <c r="L287" s="28" t="n"/>
      <c r="M287" s="16" t="str"/>
      <c r="N287" s="16" t="str"/>
      <c r="O287" s="16" t="str"/>
      <c r="P287" s="16" t="str"/>
      <c r="Q287" s="16" t="str"/>
    </row>
    <row r="288" ht="42" customHeight="1">
      <c r="A288" s="16" t="inlineStr">
        <is>
          <t>CT24</t>
        </is>
      </c>
      <c r="B288" s="16" t="inlineStr">
        <is>
          <t>UG_A_authorized_consolidated_total_cents</t>
        </is>
      </c>
      <c r="C288" s="16" t="inlineStr">
        <is>
          <t>§4, §11, §14 item 13, D02, D13</t>
        </is>
      </c>
      <c r="D288" s="16" t="inlineStr">
        <is>
          <t>centavos BRL</t>
        </is>
      </c>
      <c r="E288" s="16" t="inlineStr">
        <is>
          <t>=</t>
        </is>
      </c>
      <c r="F288" s="32" t="n">
        <v>400000</v>
      </c>
      <c r="G288" s="33" t="n"/>
      <c r="H288" s="32">
        <f>IF(AND(ISNUMBER(F288),ISNUMBER(G288)),G288-F288,"")</f>
        <v/>
      </c>
      <c r="I288" s="16">
        <f>IF(COUNTBLANK(G288)=1,"Não executado",IF(ISNUMBER(F288)&lt;&gt;ISNUMBER(G288),"Tipo incompatível",IF(IF(E288="&lt;&gt;",G288&lt;&gt;F288,G288=F288),IF(OR(J288="",K288="",NOT(ISNUMBER(L288)),L288&lt;=0),"Evidência pendente","Compatível"),"Divergente")))</f>
        <v/>
      </c>
      <c r="J288" s="12" t="str"/>
      <c r="K288" s="12" t="str"/>
      <c r="L288" s="28" t="n"/>
      <c r="M288" s="16" t="str"/>
      <c r="N288" s="16" t="str"/>
      <c r="O288" s="16" t="str"/>
      <c r="P288" s="16" t="str"/>
      <c r="Q288" s="16" t="str"/>
    </row>
    <row r="289" ht="42" customHeight="1">
      <c r="A289" s="16" t="inlineStr">
        <is>
          <t>CT24</t>
        </is>
      </c>
      <c r="B289" s="16" t="inlineStr">
        <is>
          <t>UG_B_context_total_cents</t>
        </is>
      </c>
      <c r="C289" s="16" t="inlineStr">
        <is>
          <t>§4, §11, §14 item 13, D02, D13</t>
        </is>
      </c>
      <c r="D289" s="16" t="inlineStr">
        <is>
          <t>centavos BRL</t>
        </is>
      </c>
      <c r="E289" s="16" t="inlineStr">
        <is>
          <t>=</t>
        </is>
      </c>
      <c r="F289" s="32" t="n">
        <v>900000</v>
      </c>
      <c r="G289" s="33" t="n"/>
      <c r="H289" s="32">
        <f>IF(AND(ISNUMBER(F289),ISNUMBER(G289)),G289-F289,"")</f>
        <v/>
      </c>
      <c r="I289" s="16">
        <f>IF(COUNTBLANK(G289)=1,"Não executado",IF(ISNUMBER(F289)&lt;&gt;ISNUMBER(G289),"Tipo incompatível",IF(IF(E289="&lt;&gt;",G289&lt;&gt;F289,G289=F289),IF(OR(J289="",K289="",NOT(ISNUMBER(L289)),L289&lt;=0),"Evidência pendente","Compatível"),"Divergente")))</f>
        <v/>
      </c>
      <c r="J289" s="12" t="str"/>
      <c r="K289" s="12" t="str"/>
      <c r="L289" s="28" t="n"/>
      <c r="M289" s="16" t="str"/>
      <c r="N289" s="16" t="str"/>
      <c r="O289" s="16" t="str"/>
      <c r="P289" s="16" t="str"/>
      <c r="Q289" s="16" t="str"/>
    </row>
    <row r="290" ht="42" customHeight="1">
      <c r="A290" s="16" t="inlineStr">
        <is>
          <t>CT24</t>
        </is>
      </c>
      <c r="B290" s="16" t="inlineStr">
        <is>
          <t>foreign_rows_returned_to_UA</t>
        </is>
      </c>
      <c r="C290" s="16" t="inlineStr">
        <is>
          <t>§4, §11, §14 item 13, D02, D13</t>
        </is>
      </c>
      <c r="D290" s="16" t="inlineStr">
        <is>
          <t>número</t>
        </is>
      </c>
      <c r="E290" s="16" t="inlineStr">
        <is>
          <t>=</t>
        </is>
      </c>
      <c r="F290" s="32" t="n">
        <v>0</v>
      </c>
      <c r="G290" s="33" t="n"/>
      <c r="H290" s="32">
        <f>IF(AND(ISNUMBER(F290),ISNUMBER(G290)),G290-F290,"")</f>
        <v/>
      </c>
      <c r="I290" s="16">
        <f>IF(COUNTBLANK(G290)=1,"Não executado",IF(ISNUMBER(F290)&lt;&gt;ISNUMBER(G290),"Tipo incompatível",IF(IF(E290="&lt;&gt;",G290&lt;&gt;F290,G290=F290),IF(OR(J290="",K290="",NOT(ISNUMBER(L290)),L290&lt;=0),"Evidência pendente","Compatível"),"Divergente")))</f>
        <v/>
      </c>
      <c r="J290" s="12" t="str"/>
      <c r="K290" s="12" t="str"/>
      <c r="L290" s="28" t="n"/>
      <c r="M290" s="16" t="str"/>
      <c r="N290" s="16" t="str"/>
      <c r="O290" s="16" t="str"/>
      <c r="P290" s="16" t="str"/>
      <c r="Q290" s="16" t="str"/>
    </row>
    <row r="291" ht="42" customHeight="1">
      <c r="A291" s="16" t="inlineStr">
        <is>
          <t>CT24</t>
        </is>
      </c>
      <c r="B291" s="16" t="inlineStr">
        <is>
          <t>restricted_same_organization_rows_returned_to_UA</t>
        </is>
      </c>
      <c r="C291" s="16" t="inlineStr">
        <is>
          <t>§4, §11, §14 item 13, D02, D13</t>
        </is>
      </c>
      <c r="D291" s="16" t="inlineStr">
        <is>
          <t>número</t>
        </is>
      </c>
      <c r="E291" s="16" t="inlineStr">
        <is>
          <t>=</t>
        </is>
      </c>
      <c r="F291" s="32" t="n">
        <v>0</v>
      </c>
      <c r="G291" s="33" t="n"/>
      <c r="H291" s="32">
        <f>IF(AND(ISNUMBER(F291),ISNUMBER(G291)),G291-F291,"")</f>
        <v/>
      </c>
      <c r="I291" s="16">
        <f>IF(COUNTBLANK(G291)=1,"Não executado",IF(ISNUMBER(F291)&lt;&gt;ISNUMBER(G291),"Tipo incompatível",IF(IF(E291="&lt;&gt;",G291&lt;&gt;F291,G291=F291),IF(OR(J291="",K291="",NOT(ISNUMBER(L291)),L291&lt;=0),"Evidência pendente","Compatível"),"Divergente")))</f>
        <v/>
      </c>
      <c r="J291" s="12" t="str"/>
      <c r="K291" s="12" t="str"/>
      <c r="L291" s="28" t="n"/>
      <c r="M291" s="16" t="str"/>
      <c r="N291" s="16" t="str"/>
      <c r="O291" s="16" t="str"/>
      <c r="P291" s="16" t="str"/>
      <c r="Q291" s="16" t="str"/>
    </row>
    <row r="292" ht="42" customHeight="1">
      <c r="A292" s="16" t="inlineStr">
        <is>
          <t>CT24</t>
        </is>
      </c>
      <c r="B292" s="16" t="inlineStr">
        <is>
          <t>unauthorized_mutations_committed</t>
        </is>
      </c>
      <c r="C292" s="16" t="inlineStr">
        <is>
          <t>§4, §11, §14 item 13, D02, D13</t>
        </is>
      </c>
      <c r="D292" s="16" t="inlineStr">
        <is>
          <t>número</t>
        </is>
      </c>
      <c r="E292" s="16" t="inlineStr">
        <is>
          <t>=</t>
        </is>
      </c>
      <c r="F292" s="32" t="n">
        <v>0</v>
      </c>
      <c r="G292" s="33" t="n"/>
      <c r="H292" s="32">
        <f>IF(AND(ISNUMBER(F292),ISNUMBER(G292)),G292-F292,"")</f>
        <v/>
      </c>
      <c r="I292" s="16">
        <f>IF(COUNTBLANK(G292)=1,"Não executado",IF(ISNUMBER(F292)&lt;&gt;ISNUMBER(G292),"Tipo incompatível",IF(IF(E292="&lt;&gt;",G292&lt;&gt;F292,G292=F292),IF(OR(J292="",K292="",NOT(ISNUMBER(L292)),L292&lt;=0),"Evidência pendente","Compatível"),"Divergente")))</f>
        <v/>
      </c>
      <c r="J292" s="12" t="str"/>
      <c r="K292" s="12" t="str"/>
      <c r="L292" s="28" t="n"/>
      <c r="M292" s="16" t="str"/>
      <c r="N292" s="16" t="str"/>
      <c r="O292" s="16" t="str"/>
      <c r="P292" s="16" t="str"/>
      <c r="Q292" s="16" t="str"/>
    </row>
    <row r="293" ht="42" customHeight="1">
      <c r="A293" s="16" t="inlineStr">
        <is>
          <t>CT24</t>
        </is>
      </c>
      <c r="B293" s="16" t="inlineStr">
        <is>
          <t>UR_mutations_committed</t>
        </is>
      </c>
      <c r="C293" s="16" t="inlineStr">
        <is>
          <t>§4, §11, §14 item 13, D02, D13</t>
        </is>
      </c>
      <c r="D293" s="16" t="inlineStr">
        <is>
          <t>número</t>
        </is>
      </c>
      <c r="E293" s="16" t="inlineStr">
        <is>
          <t>=</t>
        </is>
      </c>
      <c r="F293" s="32" t="n">
        <v>0</v>
      </c>
      <c r="G293" s="33" t="n"/>
      <c r="H293" s="32">
        <f>IF(AND(ISNUMBER(F293),ISNUMBER(G293)),G293-F293,"")</f>
        <v/>
      </c>
      <c r="I293" s="16">
        <f>IF(COUNTBLANK(G293)=1,"Não executado",IF(ISNUMBER(F293)&lt;&gt;ISNUMBER(G293),"Tipo incompatível",IF(IF(E293="&lt;&gt;",G293&lt;&gt;F293,G293=F293),IF(OR(J293="",K293="",NOT(ISNUMBER(L293)),L293&lt;=0),"Evidência pendente","Compatível"),"Divergente")))</f>
        <v/>
      </c>
      <c r="J293" s="12" t="str"/>
      <c r="K293" s="12" t="str"/>
      <c r="L293" s="28" t="n"/>
      <c r="M293" s="16" t="str"/>
      <c r="N293" s="16" t="str"/>
      <c r="O293" s="16" t="str"/>
      <c r="P293" s="16" t="str"/>
      <c r="Q293" s="16" t="str"/>
    </row>
    <row r="294" ht="42" customHeight="1">
      <c r="A294" s="16" t="inlineStr">
        <is>
          <t>CT24</t>
        </is>
      </c>
      <c r="B294" s="16" t="inlineStr">
        <is>
          <t>foreign_data_occurrences_in_UA_exports_or_AI</t>
        </is>
      </c>
      <c r="C294" s="16" t="inlineStr">
        <is>
          <t>§4, §11, §14 item 13, D02, D13</t>
        </is>
      </c>
      <c r="D294" s="16" t="inlineStr">
        <is>
          <t>número</t>
        </is>
      </c>
      <c r="E294" s="16" t="inlineStr">
        <is>
          <t>=</t>
        </is>
      </c>
      <c r="F294" s="32" t="n">
        <v>0</v>
      </c>
      <c r="G294" s="33" t="n"/>
      <c r="H294" s="32">
        <f>IF(AND(ISNUMBER(F294),ISNUMBER(G294)),G294-F294,"")</f>
        <v/>
      </c>
      <c r="I294" s="16">
        <f>IF(COUNTBLANK(G294)=1,"Não executado",IF(ISNUMBER(F294)&lt;&gt;ISNUMBER(G294),"Tipo incompatível",IF(IF(E294="&lt;&gt;",G294&lt;&gt;F294,G294=F294),IF(OR(J294="",K294="",NOT(ISNUMBER(L294)),L294&lt;=0),"Evidência pendente","Compatível"),"Divergente")))</f>
        <v/>
      </c>
      <c r="J294" s="12" t="str"/>
      <c r="K294" s="12" t="str"/>
      <c r="L294" s="28" t="n"/>
      <c r="M294" s="16" t="str"/>
      <c r="N294" s="16" t="str"/>
      <c r="O294" s="16" t="str"/>
      <c r="P294" s="16" t="str"/>
      <c r="Q294" s="16" t="str"/>
    </row>
    <row r="295" ht="112" customHeight="1">
      <c r="A295" s="20" t="inlineStr">
        <is>
          <t>CT25</t>
        </is>
      </c>
      <c r="B295" s="20" t="inlineStr">
        <is>
          <t>initial_P_cents</t>
        </is>
      </c>
      <c r="C295" s="20" t="inlineStr">
        <is>
          <t>§8.4, §7.2, I03, I11, I12</t>
        </is>
      </c>
      <c r="D295" s="20" t="inlineStr">
        <is>
          <t>centavos BRL</t>
        </is>
      </c>
      <c r="E295" s="20" t="inlineStr">
        <is>
          <t>=</t>
        </is>
      </c>
      <c r="F295" s="29" t="n">
        <v>300000</v>
      </c>
      <c r="G295" s="30" t="n"/>
      <c r="H295" s="29">
        <f>IF(AND(ISNUMBER(F295),ISNUMBER(G295)),G295-F295,"")</f>
        <v/>
      </c>
      <c r="I295" s="20">
        <f>IF(COUNTBLANK(G295)=1,"Não executado",IF(ISNUMBER(F295)&lt;&gt;ISNUMBER(G295),"Tipo incompatível",IF(IF(E295="&lt;&gt;",G295&lt;&gt;F295,G295=F295),IF(OR(J295="",K295="",NOT(ISNUMBER(L295)),L295&lt;=0),"Evidência pendente","Compatível"),"Divergente")))</f>
        <v/>
      </c>
      <c r="J295" s="23" t="str"/>
      <c r="K295" s="23" t="str"/>
      <c r="L295" s="31" t="n"/>
      <c r="M295" s="20" t="inlineStr">
        <is>
          <t>Recorrência mensal substituída pelo título da mesma ocorrência</t>
        </is>
      </c>
      <c r="N295" s="20" t="inlineStr">
        <is>
          <t>{"occurrences": [{"id": "REC-2026-10", "amount_cents": 100000}, {"id": "REC-2026-11", "amount_cents": 100000}, {"id": "REC-2026-12", "amount_cents": 100000}], "october_title_cents": 100000, "october_payment_cents": 100000}</t>
        </is>
      </c>
      <c r="O295" s="20" t="inlineStr">
        <is>
          <t>Registrar previsão de três ocorrências de 1.000,00.
Reconhecer serviço de outubro e emitir título associado à ocorrência de outubro.
Pagar outubro e repetir a importação do mesmo título.</t>
        </is>
      </c>
      <c r="P295" s="20" t="inlineStr">
        <is>
          <t>Antes: Q=3×1.000,00=3.000,00. Com título de outubro: Q=R1.000,00+P2.000,00=3.000,00.
Após pagar: Q=0,00+2.000,00=2.000,00. Não manter outubro simultaneamente em R e P.</t>
        </is>
      </c>
      <c r="Q295" s="20" t="inlineStr">
        <is>
          <t>Agenda fictícia sem contrato firme de todo o período, representada em P; cada ocorrência mensal possui chave estável. Outubro ainda era previsão no primeiro estado, até serviço aceito e título constituído.
Mudança de previsão para obrigação preserva a ocorrência e libera só a cobertura equivalente. Reimportação não recria o mês.</t>
        </is>
      </c>
    </row>
    <row r="296" ht="42" customHeight="1">
      <c r="A296" s="16" t="inlineStr">
        <is>
          <t>CT25</t>
        </is>
      </c>
      <c r="B296" s="16" t="inlineStr">
        <is>
          <t>after_title_R_cents</t>
        </is>
      </c>
      <c r="C296" s="16" t="inlineStr">
        <is>
          <t>§8.4, §7.2, I03, I11, I12</t>
        </is>
      </c>
      <c r="D296" s="16" t="inlineStr">
        <is>
          <t>centavos BRL</t>
        </is>
      </c>
      <c r="E296" s="16" t="inlineStr">
        <is>
          <t>=</t>
        </is>
      </c>
      <c r="F296" s="32" t="n">
        <v>100000</v>
      </c>
      <c r="G296" s="33" t="n"/>
      <c r="H296" s="32">
        <f>IF(AND(ISNUMBER(F296),ISNUMBER(G296)),G296-F296,"")</f>
        <v/>
      </c>
      <c r="I296" s="16">
        <f>IF(COUNTBLANK(G296)=1,"Não executado",IF(ISNUMBER(F296)&lt;&gt;ISNUMBER(G296),"Tipo incompatível",IF(IF(E296="&lt;&gt;",G296&lt;&gt;F296,G296=F296),IF(OR(J296="",K296="",NOT(ISNUMBER(L296)),L296&lt;=0),"Evidência pendente","Compatível"),"Divergente")))</f>
        <v/>
      </c>
      <c r="J296" s="12" t="str"/>
      <c r="K296" s="12" t="str"/>
      <c r="L296" s="28" t="n"/>
      <c r="M296" s="16" t="str"/>
      <c r="N296" s="16" t="str"/>
      <c r="O296" s="16" t="str"/>
      <c r="P296" s="16" t="str"/>
      <c r="Q296" s="16" t="str"/>
    </row>
    <row r="297" ht="42" customHeight="1">
      <c r="A297" s="16" t="inlineStr">
        <is>
          <t>CT25</t>
        </is>
      </c>
      <c r="B297" s="16" t="inlineStr">
        <is>
          <t>after_title_P_cents</t>
        </is>
      </c>
      <c r="C297" s="16" t="inlineStr">
        <is>
          <t>§8.4, §7.2, I03, I11, I12</t>
        </is>
      </c>
      <c r="D297" s="16" t="inlineStr">
        <is>
          <t>centavos BRL</t>
        </is>
      </c>
      <c r="E297" s="16" t="inlineStr">
        <is>
          <t>=</t>
        </is>
      </c>
      <c r="F297" s="32" t="n">
        <v>200000</v>
      </c>
      <c r="G297" s="33" t="n"/>
      <c r="H297" s="32">
        <f>IF(AND(ISNUMBER(F297),ISNUMBER(G297)),G297-F297,"")</f>
        <v/>
      </c>
      <c r="I297" s="16">
        <f>IF(COUNTBLANK(G297)=1,"Não executado",IF(ISNUMBER(F297)&lt;&gt;ISNUMBER(G297),"Tipo incompatível",IF(IF(E297="&lt;&gt;",G297&lt;&gt;F297,G297=F297),IF(OR(J297="",K297="",NOT(ISNUMBER(L297)),L297&lt;=0),"Evidência pendente","Compatível"),"Divergente")))</f>
        <v/>
      </c>
      <c r="J297" s="12" t="str"/>
      <c r="K297" s="12" t="str"/>
      <c r="L297" s="28" t="n"/>
      <c r="M297" s="16" t="str"/>
      <c r="N297" s="16" t="str"/>
      <c r="O297" s="16" t="str"/>
      <c r="P297" s="16" t="str"/>
      <c r="Q297" s="16" t="str"/>
    </row>
    <row r="298" ht="42" customHeight="1">
      <c r="A298" s="16" t="inlineStr">
        <is>
          <t>CT25</t>
        </is>
      </c>
      <c r="B298" s="16" t="inlineStr">
        <is>
          <t>after_title_Q_cents</t>
        </is>
      </c>
      <c r="C298" s="16" t="inlineStr">
        <is>
          <t>§8.4, §7.2, I03, I11, I12</t>
        </is>
      </c>
      <c r="D298" s="16" t="inlineStr">
        <is>
          <t>centavos BRL</t>
        </is>
      </c>
      <c r="E298" s="16" t="inlineStr">
        <is>
          <t>=</t>
        </is>
      </c>
      <c r="F298" s="32" t="n">
        <v>300000</v>
      </c>
      <c r="G298" s="33" t="n"/>
      <c r="H298" s="32">
        <f>IF(AND(ISNUMBER(F298),ISNUMBER(G298)),G298-F298,"")</f>
        <v/>
      </c>
      <c r="I298" s="16">
        <f>IF(COUNTBLANK(G298)=1,"Não executado",IF(ISNUMBER(F298)&lt;&gt;ISNUMBER(G298),"Tipo incompatível",IF(IF(E298="&lt;&gt;",G298&lt;&gt;F298,G298=F298),IF(OR(J298="",K298="",NOT(ISNUMBER(L298)),L298&lt;=0),"Evidência pendente","Compatível"),"Divergente")))</f>
        <v/>
      </c>
      <c r="J298" s="12" t="str"/>
      <c r="K298" s="12" t="str"/>
      <c r="L298" s="28" t="n"/>
      <c r="M298" s="16" t="str"/>
      <c r="N298" s="16" t="str"/>
      <c r="O298" s="16" t="str"/>
      <c r="P298" s="16" t="str"/>
      <c r="Q298" s="16" t="str"/>
    </row>
    <row r="299" ht="42" customHeight="1">
      <c r="A299" s="16" t="inlineStr">
        <is>
          <t>CT25</t>
        </is>
      </c>
      <c r="B299" s="16" t="inlineStr">
        <is>
          <t>after_payment_R_cents</t>
        </is>
      </c>
      <c r="C299" s="16" t="inlineStr">
        <is>
          <t>§8.4, §7.2, I03, I11, I12</t>
        </is>
      </c>
      <c r="D299" s="16" t="inlineStr">
        <is>
          <t>centavos BRL</t>
        </is>
      </c>
      <c r="E299" s="16" t="inlineStr">
        <is>
          <t>=</t>
        </is>
      </c>
      <c r="F299" s="32" t="n">
        <v>0</v>
      </c>
      <c r="G299" s="33" t="n"/>
      <c r="H299" s="32">
        <f>IF(AND(ISNUMBER(F299),ISNUMBER(G299)),G299-F299,"")</f>
        <v/>
      </c>
      <c r="I299" s="16">
        <f>IF(COUNTBLANK(G299)=1,"Não executado",IF(ISNUMBER(F299)&lt;&gt;ISNUMBER(G299),"Tipo incompatível",IF(IF(E299="&lt;&gt;",G299&lt;&gt;F299,G299=F299),IF(OR(J299="",K299="",NOT(ISNUMBER(L299)),L299&lt;=0),"Evidência pendente","Compatível"),"Divergente")))</f>
        <v/>
      </c>
      <c r="J299" s="12" t="str"/>
      <c r="K299" s="12" t="str"/>
      <c r="L299" s="28" t="n"/>
      <c r="M299" s="16" t="str"/>
      <c r="N299" s="16" t="str"/>
      <c r="O299" s="16" t="str"/>
      <c r="P299" s="16" t="str"/>
      <c r="Q299" s="16" t="str"/>
    </row>
    <row r="300" ht="42" customHeight="1">
      <c r="A300" s="16" t="inlineStr">
        <is>
          <t>CT25</t>
        </is>
      </c>
      <c r="B300" s="16" t="inlineStr">
        <is>
          <t>after_payment_P_cents</t>
        </is>
      </c>
      <c r="C300" s="16" t="inlineStr">
        <is>
          <t>§8.4, §7.2, I03, I11, I12</t>
        </is>
      </c>
      <c r="D300" s="16" t="inlineStr">
        <is>
          <t>centavos BRL</t>
        </is>
      </c>
      <c r="E300" s="16" t="inlineStr">
        <is>
          <t>=</t>
        </is>
      </c>
      <c r="F300" s="32" t="n">
        <v>200000</v>
      </c>
      <c r="G300" s="33" t="n"/>
      <c r="H300" s="32">
        <f>IF(AND(ISNUMBER(F300),ISNUMBER(G300)),G300-F300,"")</f>
        <v/>
      </c>
      <c r="I300" s="16">
        <f>IF(COUNTBLANK(G300)=1,"Não executado",IF(ISNUMBER(F300)&lt;&gt;ISNUMBER(G300),"Tipo incompatível",IF(IF(E300="&lt;&gt;",G300&lt;&gt;F300,G300=F300),IF(OR(J300="",K300="",NOT(ISNUMBER(L300)),L300&lt;=0),"Evidência pendente","Compatível"),"Divergente")))</f>
        <v/>
      </c>
      <c r="J300" s="12" t="str"/>
      <c r="K300" s="12" t="str"/>
      <c r="L300" s="28" t="n"/>
      <c r="M300" s="16" t="str"/>
      <c r="N300" s="16" t="str"/>
      <c r="O300" s="16" t="str"/>
      <c r="P300" s="16" t="str"/>
      <c r="Q300" s="16" t="str"/>
    </row>
    <row r="301" ht="42" customHeight="1">
      <c r="A301" s="16" t="inlineStr">
        <is>
          <t>CT25</t>
        </is>
      </c>
      <c r="B301" s="16" t="inlineStr">
        <is>
          <t>after_payment_Q_cents</t>
        </is>
      </c>
      <c r="C301" s="16" t="inlineStr">
        <is>
          <t>§8.4, §7.2, I03, I11, I12</t>
        </is>
      </c>
      <c r="D301" s="16" t="inlineStr">
        <is>
          <t>centavos BRL</t>
        </is>
      </c>
      <c r="E301" s="16" t="inlineStr">
        <is>
          <t>=</t>
        </is>
      </c>
      <c r="F301" s="32" t="n">
        <v>200000</v>
      </c>
      <c r="G301" s="33" t="n"/>
      <c r="H301" s="32">
        <f>IF(AND(ISNUMBER(F301),ISNUMBER(G301)),G301-F301,"")</f>
        <v/>
      </c>
      <c r="I301" s="16">
        <f>IF(COUNTBLANK(G301)=1,"Não executado",IF(ISNUMBER(F301)&lt;&gt;ISNUMBER(G301),"Tipo incompatível",IF(IF(E301="&lt;&gt;",G301&lt;&gt;F301,G301=F301),IF(OR(J301="",K301="",NOT(ISNUMBER(L301)),L301&lt;=0),"Evidência pendente","Compatível"),"Divergente")))</f>
        <v/>
      </c>
      <c r="J301" s="12" t="str"/>
      <c r="K301" s="12" t="str"/>
      <c r="L301" s="28" t="n"/>
      <c r="M301" s="16" t="str"/>
      <c r="N301" s="16" t="str"/>
      <c r="O301" s="16" t="str"/>
      <c r="P301" s="16" t="str"/>
      <c r="Q301" s="16" t="str"/>
    </row>
    <row r="302" ht="42" customHeight="1">
      <c r="A302" s="16" t="inlineStr">
        <is>
          <t>CT25</t>
        </is>
      </c>
      <c r="B302" s="16" t="inlineStr">
        <is>
          <t>october_incurred_cost_cents</t>
        </is>
      </c>
      <c r="C302" s="16" t="inlineStr">
        <is>
          <t>§8.4, §7.2, I03, I11, I12</t>
        </is>
      </c>
      <c r="D302" s="16" t="inlineStr">
        <is>
          <t>centavos BRL</t>
        </is>
      </c>
      <c r="E302" s="16" t="inlineStr">
        <is>
          <t>=</t>
        </is>
      </c>
      <c r="F302" s="32" t="n">
        <v>100000</v>
      </c>
      <c r="G302" s="33" t="n"/>
      <c r="H302" s="32">
        <f>IF(AND(ISNUMBER(F302),ISNUMBER(G302)),G302-F302,"")</f>
        <v/>
      </c>
      <c r="I302" s="16">
        <f>IF(COUNTBLANK(G302)=1,"Não executado",IF(ISNUMBER(F302)&lt;&gt;ISNUMBER(G302),"Tipo incompatível",IF(IF(E302="&lt;&gt;",G302&lt;&gt;F302,G302=F302),IF(OR(J302="",K302="",NOT(ISNUMBER(L302)),L302&lt;=0),"Evidência pendente","Compatível"),"Divergente")))</f>
        <v/>
      </c>
      <c r="J302" s="12" t="str"/>
      <c r="K302" s="12" t="str"/>
      <c r="L302" s="28" t="n"/>
      <c r="M302" s="16" t="str"/>
      <c r="N302" s="16" t="str"/>
      <c r="O302" s="16" t="str"/>
      <c r="P302" s="16" t="str"/>
      <c r="Q302" s="16" t="str"/>
    </row>
    <row r="303" ht="42" customHeight="1">
      <c r="A303" s="16" t="inlineStr">
        <is>
          <t>CT25</t>
        </is>
      </c>
      <c r="B303" s="16" t="inlineStr">
        <is>
          <t>october_cash_cents</t>
        </is>
      </c>
      <c r="C303" s="16" t="inlineStr">
        <is>
          <t>§8.4, §7.2, I03, I11, I12</t>
        </is>
      </c>
      <c r="D303" s="16" t="inlineStr">
        <is>
          <t>centavos BRL</t>
        </is>
      </c>
      <c r="E303" s="16" t="inlineStr">
        <is>
          <t>=</t>
        </is>
      </c>
      <c r="F303" s="32" t="n">
        <v>100000</v>
      </c>
      <c r="G303" s="33" t="n"/>
      <c r="H303" s="32">
        <f>IF(AND(ISNUMBER(F303),ISNUMBER(G303)),G303-F303,"")</f>
        <v/>
      </c>
      <c r="I303" s="16">
        <f>IF(COUNTBLANK(G303)=1,"Não executado",IF(ISNUMBER(F303)&lt;&gt;ISNUMBER(G303),"Tipo incompatível",IF(IF(E303="&lt;&gt;",G303&lt;&gt;F303,G303=F303),IF(OR(J303="",K303="",NOT(ISNUMBER(L303)),L303&lt;=0),"Evidência pendente","Compatível"),"Divergente")))</f>
        <v/>
      </c>
      <c r="J303" s="12" t="str"/>
      <c r="K303" s="12" t="str"/>
      <c r="L303" s="28" t="n"/>
      <c r="M303" s="16" t="str"/>
      <c r="N303" s="16" t="str"/>
      <c r="O303" s="16" t="str"/>
      <c r="P303" s="16" t="str"/>
      <c r="Q303" s="16" t="str"/>
    </row>
    <row r="304" ht="42" customHeight="1">
      <c r="A304" s="16" t="inlineStr">
        <is>
          <t>CT25</t>
        </is>
      </c>
      <c r="B304" s="16" t="inlineStr">
        <is>
          <t>active_occurrence_count</t>
        </is>
      </c>
      <c r="C304" s="16" t="inlineStr">
        <is>
          <t>§8.4, §7.2, I03, I11, I12</t>
        </is>
      </c>
      <c r="D304" s="16" t="inlineStr">
        <is>
          <t>número</t>
        </is>
      </c>
      <c r="E304" s="16" t="inlineStr">
        <is>
          <t>=</t>
        </is>
      </c>
      <c r="F304" s="32" t="n">
        <v>3</v>
      </c>
      <c r="G304" s="33" t="n"/>
      <c r="H304" s="32">
        <f>IF(AND(ISNUMBER(F304),ISNUMBER(G304)),G304-F304,"")</f>
        <v/>
      </c>
      <c r="I304" s="16">
        <f>IF(COUNTBLANK(G304)=1,"Não executado",IF(ISNUMBER(F304)&lt;&gt;ISNUMBER(G304),"Tipo incompatível",IF(IF(E304="&lt;&gt;",G304&lt;&gt;F304,G304=F304),IF(OR(J304="",K304="",NOT(ISNUMBER(L304)),L304&lt;=0),"Evidência pendente","Compatível"),"Divergente")))</f>
        <v/>
      </c>
      <c r="J304" s="12" t="str"/>
      <c r="K304" s="12" t="str"/>
      <c r="L304" s="28" t="n"/>
      <c r="M304" s="16" t="str"/>
      <c r="N304" s="16" t="str"/>
      <c r="O304" s="16" t="str"/>
      <c r="P304" s="16" t="str"/>
      <c r="Q304" s="16" t="str"/>
    </row>
    <row r="305" ht="42" customHeight="1">
      <c r="A305" s="16" t="inlineStr">
        <is>
          <t>CT25</t>
        </is>
      </c>
      <c r="B305" s="16" t="inlineStr">
        <is>
          <t>duplicate_october_obligations</t>
        </is>
      </c>
      <c r="C305" s="16" t="inlineStr">
        <is>
          <t>§8.4, §7.2, I03, I11, I12</t>
        </is>
      </c>
      <c r="D305" s="16" t="inlineStr">
        <is>
          <t>número</t>
        </is>
      </c>
      <c r="E305" s="16" t="inlineStr">
        <is>
          <t>=</t>
        </is>
      </c>
      <c r="F305" s="32" t="n">
        <v>0</v>
      </c>
      <c r="G305" s="33" t="n"/>
      <c r="H305" s="32">
        <f>IF(AND(ISNUMBER(F305),ISNUMBER(G305)),G305-F305,"")</f>
        <v/>
      </c>
      <c r="I305" s="16">
        <f>IF(COUNTBLANK(G305)=1,"Não executado",IF(ISNUMBER(F305)&lt;&gt;ISNUMBER(G305),"Tipo incompatível",IF(IF(E305="&lt;&gt;",G305&lt;&gt;F305,G305=F305),IF(OR(J305="",K305="",NOT(ISNUMBER(L305)),L305&lt;=0),"Evidência pendente","Compatível"),"Divergente")))</f>
        <v/>
      </c>
      <c r="J305" s="12" t="str"/>
      <c r="K305" s="12" t="str"/>
      <c r="L305" s="28" t="n"/>
      <c r="M305" s="16" t="str"/>
      <c r="N305" s="16" t="str"/>
      <c r="O305" s="16" t="str"/>
      <c r="P305" s="16" t="str"/>
      <c r="Q305" s="16" t="str"/>
    </row>
    <row r="306" ht="159" customHeight="1">
      <c r="A306" s="20" t="inlineStr">
        <is>
          <t>CT26</t>
        </is>
      </c>
      <c r="B306" s="20" t="inlineStr">
        <is>
          <t>complete.unique_count</t>
        </is>
      </c>
      <c r="C306" s="20" t="inlineStr">
        <is>
          <t>§2, §4, §11, I22, S2 §5</t>
        </is>
      </c>
      <c r="D306" s="20" t="inlineStr">
        <is>
          <t>número</t>
        </is>
      </c>
      <c r="E306" s="20" t="inlineStr">
        <is>
          <t>=</t>
        </is>
      </c>
      <c r="F306" s="29" t="n">
        <v>5</v>
      </c>
      <c r="G306" s="30" t="n">
        <v>5</v>
      </c>
      <c r="H306" s="29">
        <f>IF(AND(ISNUMBER(F306),ISNUMBER(G306)),G306-F306,"")</f>
        <v/>
      </c>
      <c r="I306" s="20">
        <f>IF(COUNTBLANK(G306)=1,"Não executado",IF(ISNUMBER(F306)&lt;&gt;ISNUMBER(G306),"Tipo incompatível",IF(IF(E306="&lt;&gt;",G306&lt;&gt;F306,G306=F306),IF(OR(J306="",K306="",NOT(ISNUMBER(L306)),L306&lt;=0),"Evidência pendente","Compatível"),"Divergente")))</f>
        <v/>
      </c>
      <c r="J306" s="23" t="inlineStr">
        <is>
          <t>etapa6-koper/evidencias/integracao.json; comparacao-CT01-CT26.json — banco/importação, sem aceite financeiro</t>
        </is>
      </c>
      <c r="K306" s="23" t="inlineStr">
        <is>
          <t>Codex — execução automatizada isolada</t>
        </is>
      </c>
      <c r="L306" s="31" t="n">
        <v>46316.72234480324</v>
      </c>
      <c r="M306" s="20" t="inlineStr">
        <is>
          <t>Paginação completa e falha no meio da extração</t>
        </is>
      </c>
      <c r="N306" s="20" t="inlineStr">
        <is>
          <t>{"pages": [[{"id": "P1", "amount_cents": 100000}, {"id": "P2", "amount_cents": 200000}], [{"id": "P3", "amount_cents": 300000}, {"id": "P4", "amount_cents": 400000}], [{"id": "P5", "amount_cents": 500000}]], "expected_id_count": 5, "page_size": 2, "complete_cursor_responses": [{"request_cursor": null, "page_number": 1, "next_cursor": "CURSOR-2"}, {"request_cursor": "CURSOR-2", "page_number": 2, "next_cursor": "CURSOR-3"}, {"request_cursor": "CURSOR-3", "page_number": 3, "next_cursor": null}], "failed_page_variant": {"request_cursor": "CURSOR-2", "http_status": 503, "failed_attempts": 1, "retry_succeeds": true}, "repeated_cursor_variant": [{"request_cursor": null, "page_number": 1, "next_cursor": "CURSOR-2"}, {"request_cursor": "CURSOR-2", "page_number": 2, "next_cursor": "CURSOR-2"}]}</t>
        </is>
      </c>
      <c r="O306" s="20" t="inlineStr">
        <is>
          <t>A: importar três páginas completas.
B: em cópia limpa, a página 2 falha; não publicar uma carga completa.
C: em cópia limpa, seguir repeated_cursor_variant; a segunda resposta devolve o mesmo cursor CURSOR-2 da requisição. Detectar a anomalia e interromper a carga antes de certificá-la.
D: repetir B com sucesso usando a mesma identidade, sem duplicar os dois registros já preparados.</t>
        </is>
      </c>
      <c r="P306" s="20" t="inlineStr">
        <is>
          <t>Carga completa = 1.000 + 2.000 + 3.000 + 4.000 + 5.000 = R$ 15.000. Duas de cinco identidades = 40% carregadas; isso não certifica o saldo final.
Falha após página 1 preserva subtotal conhecido de R$ 3.000 e universo ainda incompleto. Retry termina com cinco títulos e R$ 15.000.</t>
        </is>
      </c>
      <c r="Q306" s="20" t="inlineStr">
        <is>
          <t>Origem fictícia com cinco IDs esperados, todos títulos abertos válidos. As variantes são executadas separadamente.
Comparar IDs distintos e manifesto, não apenas quantidade de linhas. Falha não atualiza o instante da última carga completa.</t>
        </is>
      </c>
    </row>
    <row r="307" ht="42" customHeight="1">
      <c r="A307" s="16" t="inlineStr">
        <is>
          <t>CT26</t>
        </is>
      </c>
      <c r="B307" s="16" t="inlineStr">
        <is>
          <t>complete.total_cents</t>
        </is>
      </c>
      <c r="C307" s="16" t="inlineStr">
        <is>
          <t>§2, §4, §11, I22, S2 §5</t>
        </is>
      </c>
      <c r="D307" s="16" t="inlineStr">
        <is>
          <t>centavos BRL</t>
        </is>
      </c>
      <c r="E307" s="16" t="inlineStr">
        <is>
          <t>=</t>
        </is>
      </c>
      <c r="F307" s="32" t="n">
        <v>1500000</v>
      </c>
      <c r="G307" s="33" t="n">
        <v>1500000</v>
      </c>
      <c r="H307" s="32">
        <f>IF(AND(ISNUMBER(F307),ISNUMBER(G307)),G307-F307,"")</f>
        <v/>
      </c>
      <c r="I307" s="16">
        <f>IF(COUNTBLANK(G307)=1,"Não executado",IF(ISNUMBER(F307)&lt;&gt;ISNUMBER(G307),"Tipo incompatível",IF(IF(E307="&lt;&gt;",G307&lt;&gt;F307,G307=F307),IF(OR(J307="",K307="",NOT(ISNUMBER(L307)),L307&lt;=0),"Evidência pendente","Compatível"),"Divergente")))</f>
        <v/>
      </c>
      <c r="J307" s="12" t="inlineStr">
        <is>
          <t>etapa6-koper/evidencias/integracao.json; comparacao-CT01-CT26.json — banco/importação, sem aceite financeiro</t>
        </is>
      </c>
      <c r="K307" s="12" t="inlineStr">
        <is>
          <t>Codex — execução automatizada isolada</t>
        </is>
      </c>
      <c r="L307" s="28" t="n">
        <v>46316.72234480324</v>
      </c>
      <c r="M307" s="16" t="str"/>
      <c r="N307" s="16" t="str"/>
      <c r="O307" s="16" t="str"/>
      <c r="P307" s="16" t="str"/>
      <c r="Q307" s="16" t="str"/>
    </row>
    <row r="308" ht="42" customHeight="1">
      <c r="A308" s="16" t="inlineStr">
        <is>
          <t>CT26</t>
        </is>
      </c>
      <c r="B308" s="16" t="inlineStr">
        <is>
          <t>complete.external_coverage_percent</t>
        </is>
      </c>
      <c r="C308" s="16" t="inlineStr">
        <is>
          <t>§2, §4, §11, I22, S2 §5</t>
        </is>
      </c>
      <c r="D308" s="16" t="inlineStr">
        <is>
          <t>% de 0 a 100</t>
        </is>
      </c>
      <c r="E308" s="16" t="inlineStr">
        <is>
          <t>=</t>
        </is>
      </c>
      <c r="F308" s="34" t="n">
        <v>100</v>
      </c>
      <c r="G308" s="35" t="n">
        <v>100</v>
      </c>
      <c r="H308" s="34">
        <f>IF(AND(ISNUMBER(F308),ISNUMBER(G308)),G308-F308,"")</f>
        <v/>
      </c>
      <c r="I308" s="16">
        <f>IF(COUNTBLANK(G308)=1,"Não executado",IF(ISNUMBER(F308)&lt;&gt;ISNUMBER(G308),"Tipo incompatível",IF(IF(E308="&lt;&gt;",G308&lt;&gt;F308,G308=F308),IF(OR(J308="",K308="",NOT(ISNUMBER(L308)),L308&lt;=0),"Evidência pendente","Compatível"),"Divergente")))</f>
        <v/>
      </c>
      <c r="J308" s="12" t="inlineStr">
        <is>
          <t>etapa6-koper/evidencias/integracao.json; comparacao-CT01-CT26.json — banco/importação, sem aceite financeiro</t>
        </is>
      </c>
      <c r="K308" s="12" t="inlineStr">
        <is>
          <t>Codex — execução automatizada isolada</t>
        </is>
      </c>
      <c r="L308" s="28" t="n">
        <v>46316.72234480324</v>
      </c>
      <c r="M308" s="16" t="str"/>
      <c r="N308" s="16" t="str"/>
      <c r="O308" s="16" t="str"/>
      <c r="P308" s="16" t="str"/>
      <c r="Q308" s="16" t="str"/>
    </row>
    <row r="309" ht="42" customHeight="1">
      <c r="A309" s="16" t="inlineStr">
        <is>
          <t>CT26</t>
        </is>
      </c>
      <c r="B309" s="16" t="inlineStr">
        <is>
          <t>failed_page_2.known_unique_count</t>
        </is>
      </c>
      <c r="C309" s="16" t="inlineStr">
        <is>
          <t>§2, §4, §11, I22, S2 §5</t>
        </is>
      </c>
      <c r="D309" s="16" t="inlineStr">
        <is>
          <t>número</t>
        </is>
      </c>
      <c r="E309" s="16" t="inlineStr">
        <is>
          <t>=</t>
        </is>
      </c>
      <c r="F309" s="32" t="n">
        <v>2</v>
      </c>
      <c r="G309" s="33" t="n">
        <v>2</v>
      </c>
      <c r="H309" s="32">
        <f>IF(AND(ISNUMBER(F309),ISNUMBER(G309)),G309-F309,"")</f>
        <v/>
      </c>
      <c r="I309" s="16">
        <f>IF(COUNTBLANK(G309)=1,"Não executado",IF(ISNUMBER(F309)&lt;&gt;ISNUMBER(G309),"Tipo incompatível",IF(IF(E309="&lt;&gt;",G309&lt;&gt;F309,G309=F309),IF(OR(J309="",K309="",NOT(ISNUMBER(L309)),L309&lt;=0),"Evidência pendente","Compatível"),"Divergente")))</f>
        <v/>
      </c>
      <c r="J309" s="12" t="inlineStr">
        <is>
          <t>etapa6-koper/evidencias/integracao.json; comparacao-CT01-CT26.json — banco/importação, sem aceite financeiro</t>
        </is>
      </c>
      <c r="K309" s="12" t="inlineStr">
        <is>
          <t>Codex — execução automatizada isolada</t>
        </is>
      </c>
      <c r="L309" s="28" t="n">
        <v>46316.72234480324</v>
      </c>
      <c r="M309" s="16" t="str"/>
      <c r="N309" s="16" t="str"/>
      <c r="O309" s="16" t="str"/>
      <c r="P309" s="16" t="str"/>
      <c r="Q309" s="16" t="str"/>
    </row>
    <row r="310" ht="42" customHeight="1">
      <c r="A310" s="16" t="inlineStr">
        <is>
          <t>CT26</t>
        </is>
      </c>
      <c r="B310" s="16" t="inlineStr">
        <is>
          <t>failed_page_2.known_subtotal_cents</t>
        </is>
      </c>
      <c r="C310" s="16" t="inlineStr">
        <is>
          <t>§2, §4, §11, I22, S2 §5</t>
        </is>
      </c>
      <c r="D310" s="16" t="inlineStr">
        <is>
          <t>centavos BRL</t>
        </is>
      </c>
      <c r="E310" s="16" t="inlineStr">
        <is>
          <t>=</t>
        </is>
      </c>
      <c r="F310" s="32" t="n">
        <v>300000</v>
      </c>
      <c r="G310" s="33" t="n">
        <v>300000</v>
      </c>
      <c r="H310" s="32">
        <f>IF(AND(ISNUMBER(F310),ISNUMBER(G310)),G310-F310,"")</f>
        <v/>
      </c>
      <c r="I310" s="16">
        <f>IF(COUNTBLANK(G310)=1,"Não executado",IF(ISNUMBER(F310)&lt;&gt;ISNUMBER(G310),"Tipo incompatível",IF(IF(E310="&lt;&gt;",G310&lt;&gt;F310,G310=F310),IF(OR(J310="",K310="",NOT(ISNUMBER(L310)),L310&lt;=0),"Evidência pendente","Compatível"),"Divergente")))</f>
        <v/>
      </c>
      <c r="J310" s="12" t="inlineStr">
        <is>
          <t>etapa6-koper/evidencias/integracao.json; comparacao-CT01-CT26.json — banco/importação, sem aceite financeiro</t>
        </is>
      </c>
      <c r="K310" s="12" t="inlineStr">
        <is>
          <t>Codex — execução automatizada isolada</t>
        </is>
      </c>
      <c r="L310" s="28" t="n">
        <v>46316.72234480324</v>
      </c>
      <c r="M310" s="16" t="str"/>
      <c r="N310" s="16" t="str"/>
      <c r="O310" s="16" t="str"/>
      <c r="P310" s="16" t="str"/>
      <c r="Q310" s="16" t="str"/>
    </row>
    <row r="311" ht="42" customHeight="1">
      <c r="A311" s="16" t="inlineStr">
        <is>
          <t>CT26</t>
        </is>
      </c>
      <c r="B311" s="16" t="inlineStr">
        <is>
          <t>failed_page_2.known_loaded_coverage_percent</t>
        </is>
      </c>
      <c r="C311" s="16" t="inlineStr">
        <is>
          <t>§2, §4, §11, I22, S2 §5</t>
        </is>
      </c>
      <c r="D311" s="16" t="inlineStr">
        <is>
          <t>% de 0 a 100</t>
        </is>
      </c>
      <c r="E311" s="16" t="inlineStr">
        <is>
          <t>=</t>
        </is>
      </c>
      <c r="F311" s="34" t="n">
        <v>40</v>
      </c>
      <c r="G311" s="35" t="n">
        <v>40</v>
      </c>
      <c r="H311" s="34">
        <f>IF(AND(ISNUMBER(F311),ISNUMBER(G311)),G311-F311,"")</f>
        <v/>
      </c>
      <c r="I311" s="16">
        <f>IF(COUNTBLANK(G311)=1,"Não executado",IF(ISNUMBER(F311)&lt;&gt;ISNUMBER(G311),"Tipo incompatível",IF(IF(E311="&lt;&gt;",G311&lt;&gt;F311,G311=F311),IF(OR(J311="",K311="",NOT(ISNUMBER(L311)),L311&lt;=0),"Evidência pendente","Compatível"),"Divergente")))</f>
        <v/>
      </c>
      <c r="J311" s="12" t="inlineStr">
        <is>
          <t>etapa6-koper/evidencias/integracao.json; comparacao-CT01-CT26.json — banco/importação, sem aceite financeiro</t>
        </is>
      </c>
      <c r="K311" s="12" t="inlineStr">
        <is>
          <t>Codex — execução automatizada isolada</t>
        </is>
      </c>
      <c r="L311" s="28" t="n">
        <v>46316.72234480324</v>
      </c>
      <c r="M311" s="16" t="str"/>
      <c r="N311" s="16" t="str"/>
      <c r="O311" s="16" t="str"/>
      <c r="P311" s="16" t="str"/>
      <c r="Q311" s="16" t="str"/>
    </row>
    <row r="312" ht="42" customHeight="1">
      <c r="A312" s="16" t="inlineStr">
        <is>
          <t>CT26</t>
        </is>
      </c>
      <c r="B312" s="16" t="inlineStr">
        <is>
          <t>failed_page_2.certified_total_cents</t>
        </is>
      </c>
      <c r="C312" s="16" t="inlineStr">
        <is>
          <t>§2, §4, §11, I22, S2 §5</t>
        </is>
      </c>
      <c r="D312" s="16" t="inlineStr">
        <is>
          <t>null</t>
        </is>
      </c>
      <c r="E312" s="16" t="inlineStr">
        <is>
          <t>=</t>
        </is>
      </c>
      <c r="F312" s="32" t="inlineStr">
        <is>
          <t>null</t>
        </is>
      </c>
      <c r="G312" s="33" t="inlineStr">
        <is>
          <t>null</t>
        </is>
      </c>
      <c r="H312" s="32">
        <f>IF(AND(ISNUMBER(F312),ISNUMBER(G312)),G312-F312,"")</f>
        <v/>
      </c>
      <c r="I312" s="16">
        <f>IF(COUNTBLANK(G312)=1,"Não executado",IF(ISNUMBER(F312)&lt;&gt;ISNUMBER(G312),"Tipo incompatível",IF(IF(E312="&lt;&gt;",G312&lt;&gt;F312,G312=F312),IF(OR(J312="",K312="",NOT(ISNUMBER(L312)),L312&lt;=0),"Evidência pendente","Compatível"),"Divergente")))</f>
        <v/>
      </c>
      <c r="J312" s="12" t="inlineStr">
        <is>
          <t>etapa6-koper/evidencias/integracao.json; comparacao-CT01-CT26.json — banco/importação, sem aceite financeiro</t>
        </is>
      </c>
      <c r="K312" s="12" t="inlineStr">
        <is>
          <t>Codex — execução automatizada isolada</t>
        </is>
      </c>
      <c r="L312" s="28" t="n">
        <v>46316.72234480324</v>
      </c>
      <c r="M312" s="16" t="str"/>
      <c r="N312" s="16" t="str"/>
      <c r="O312" s="16" t="str"/>
      <c r="P312" s="16" t="str"/>
      <c r="Q312" s="16" t="str"/>
    </row>
    <row r="313" ht="42" customHeight="1">
      <c r="A313" s="16" t="inlineStr">
        <is>
          <t>CT26</t>
        </is>
      </c>
      <c r="B313" s="16" t="inlineStr">
        <is>
          <t>failed_page_2.complete</t>
        </is>
      </c>
      <c r="C313" s="16" t="inlineStr">
        <is>
          <t>§2, §4, §11, I22, S2 §5</t>
        </is>
      </c>
      <c r="D313" s="16" t="inlineStr">
        <is>
          <t>booleano</t>
        </is>
      </c>
      <c r="E313" s="16" t="inlineStr">
        <is>
          <t>=</t>
        </is>
      </c>
      <c r="F313" s="32" t="b">
        <v>0</v>
      </c>
      <c r="G313" s="33" t="b">
        <v>0</v>
      </c>
      <c r="H313" s="32">
        <f>IF(AND(ISNUMBER(F313),ISNUMBER(G313)),G313-F313,"")</f>
        <v/>
      </c>
      <c r="I313" s="16">
        <f>IF(COUNTBLANK(G313)=1,"Não executado",IF(ISNUMBER(F313)&lt;&gt;ISNUMBER(G313),"Tipo incompatível",IF(IF(E313="&lt;&gt;",G313&lt;&gt;F313,G313=F313),IF(OR(J313="",K313="",NOT(ISNUMBER(L313)),L313&lt;=0),"Evidência pendente","Compatível"),"Divergente")))</f>
        <v/>
      </c>
      <c r="J313" s="12" t="inlineStr">
        <is>
          <t>etapa6-koper/evidencias/integracao.json; comparacao-CT01-CT26.json — banco/importação, sem aceite financeiro</t>
        </is>
      </c>
      <c r="K313" s="12" t="inlineStr">
        <is>
          <t>Codex — execução automatizada isolada</t>
        </is>
      </c>
      <c r="L313" s="28" t="n">
        <v>46316.72234480324</v>
      </c>
      <c r="M313" s="16" t="str"/>
      <c r="N313" s="16" t="str"/>
      <c r="O313" s="16" t="str"/>
      <c r="P313" s="16" t="str"/>
      <c r="Q313" s="16" t="str"/>
    </row>
    <row r="314" ht="42" customHeight="1">
      <c r="A314" s="16" t="inlineStr">
        <is>
          <t>CT26</t>
        </is>
      </c>
      <c r="B314" s="16" t="inlineStr">
        <is>
          <t>after_retry.unique_count</t>
        </is>
      </c>
      <c r="C314" s="16" t="inlineStr">
        <is>
          <t>§2, §4, §11, I22, S2 §5</t>
        </is>
      </c>
      <c r="D314" s="16" t="inlineStr">
        <is>
          <t>número</t>
        </is>
      </c>
      <c r="E314" s="16" t="inlineStr">
        <is>
          <t>=</t>
        </is>
      </c>
      <c r="F314" s="32" t="n">
        <v>5</v>
      </c>
      <c r="G314" s="33" t="n">
        <v>5</v>
      </c>
      <c r="H314" s="32">
        <f>IF(AND(ISNUMBER(F314),ISNUMBER(G314)),G314-F314,"")</f>
        <v/>
      </c>
      <c r="I314" s="16">
        <f>IF(COUNTBLANK(G314)=1,"Não executado",IF(ISNUMBER(F314)&lt;&gt;ISNUMBER(G314),"Tipo incompatível",IF(IF(E314="&lt;&gt;",G314&lt;&gt;F314,G314=F314),IF(OR(J314="",K314="",NOT(ISNUMBER(L314)),L314&lt;=0),"Evidência pendente","Compatível"),"Divergente")))</f>
        <v/>
      </c>
      <c r="J314" s="12" t="inlineStr">
        <is>
          <t>etapa6-koper/evidencias/integracao.json; comparacao-CT01-CT26.json — banco/importação, sem aceite financeiro</t>
        </is>
      </c>
      <c r="K314" s="12" t="inlineStr">
        <is>
          <t>Codex — execução automatizada isolada</t>
        </is>
      </c>
      <c r="L314" s="28" t="n">
        <v>46316.72234480324</v>
      </c>
      <c r="M314" s="16" t="str"/>
      <c r="N314" s="16" t="str"/>
      <c r="O314" s="16" t="str"/>
      <c r="P314" s="16" t="str"/>
      <c r="Q314" s="16" t="str"/>
    </row>
    <row r="315" ht="42" customHeight="1">
      <c r="A315" s="16" t="inlineStr">
        <is>
          <t>CT26</t>
        </is>
      </c>
      <c r="B315" s="16" t="inlineStr">
        <is>
          <t>after_retry.total_cents</t>
        </is>
      </c>
      <c r="C315" s="16" t="inlineStr">
        <is>
          <t>§2, §4, §11, I22, S2 §5</t>
        </is>
      </c>
      <c r="D315" s="16" t="inlineStr">
        <is>
          <t>centavos BRL</t>
        </is>
      </c>
      <c r="E315" s="16" t="inlineStr">
        <is>
          <t>=</t>
        </is>
      </c>
      <c r="F315" s="32" t="n">
        <v>1500000</v>
      </c>
      <c r="G315" s="33" t="n">
        <v>1500000</v>
      </c>
      <c r="H315" s="32">
        <f>IF(AND(ISNUMBER(F315),ISNUMBER(G315)),G315-F315,"")</f>
        <v/>
      </c>
      <c r="I315" s="16">
        <f>IF(COUNTBLANK(G315)=1,"Não executado",IF(ISNUMBER(F315)&lt;&gt;ISNUMBER(G315),"Tipo incompatível",IF(IF(E315="&lt;&gt;",G315&lt;&gt;F315,G315=F315),IF(OR(J315="",K315="",NOT(ISNUMBER(L315)),L315&lt;=0),"Evidência pendente","Compatível"),"Divergente")))</f>
        <v/>
      </c>
      <c r="J315" s="12" t="inlineStr">
        <is>
          <t>etapa6-koper/evidencias/integracao.json; comparacao-CT01-CT26.json — banco/importação, sem aceite financeiro</t>
        </is>
      </c>
      <c r="K315" s="12" t="inlineStr">
        <is>
          <t>Codex — execução automatizada isolada</t>
        </is>
      </c>
      <c r="L315" s="28" t="n">
        <v>46316.72234480324</v>
      </c>
      <c r="M315" s="16" t="str"/>
      <c r="N315" s="16" t="str"/>
      <c r="O315" s="16" t="str"/>
      <c r="P315" s="16" t="str"/>
      <c r="Q315" s="16" t="str"/>
    </row>
    <row r="316" ht="42" customHeight="1">
      <c r="A316" s="16" t="inlineStr">
        <is>
          <t>CT26</t>
        </is>
      </c>
      <c r="B316" s="16" t="inlineStr">
        <is>
          <t>after_retry.duplicate_obligations</t>
        </is>
      </c>
      <c r="C316" s="16" t="inlineStr">
        <is>
          <t>§2, §4, §11, I22, S2 §5</t>
        </is>
      </c>
      <c r="D316" s="16" t="inlineStr">
        <is>
          <t>número</t>
        </is>
      </c>
      <c r="E316" s="16" t="inlineStr">
        <is>
          <t>=</t>
        </is>
      </c>
      <c r="F316" s="32" t="n">
        <v>0</v>
      </c>
      <c r="G316" s="33" t="n">
        <v>0</v>
      </c>
      <c r="H316" s="32">
        <f>IF(AND(ISNUMBER(F316),ISNUMBER(G316)),G316-F316,"")</f>
        <v/>
      </c>
      <c r="I316" s="16">
        <f>IF(COUNTBLANK(G316)=1,"Não executado",IF(ISNUMBER(F316)&lt;&gt;ISNUMBER(G316),"Tipo incompatível",IF(IF(E316="&lt;&gt;",G316&lt;&gt;F316,G316=F316),IF(OR(J316="",K316="",NOT(ISNUMBER(L316)),L316&lt;=0),"Evidência pendente","Compatível"),"Divergente")))</f>
        <v/>
      </c>
      <c r="J316" s="12" t="inlineStr">
        <is>
          <t>etapa6-koper/evidencias/integracao.json; comparacao-CT01-CT26.json — banco/importação, sem aceite financeiro</t>
        </is>
      </c>
      <c r="K316" s="12" t="inlineStr">
        <is>
          <t>Codex — execução automatizada isolada</t>
        </is>
      </c>
      <c r="L316" s="28" t="n">
        <v>46316.72234480324</v>
      </c>
      <c r="M316" s="16" t="str"/>
      <c r="N316" s="16" t="str"/>
      <c r="O316" s="16" t="str"/>
      <c r="P316" s="16" t="str"/>
      <c r="Q316" s="16" t="str"/>
    </row>
    <row r="317" ht="42" customHeight="1">
      <c r="A317" s="16" t="inlineStr">
        <is>
          <t>CT26</t>
        </is>
      </c>
      <c r="B317" s="16" t="inlineStr">
        <is>
          <t>repeated_cursor_detected</t>
        </is>
      </c>
      <c r="C317" s="16" t="inlineStr">
        <is>
          <t>§2, §4, §11, I22, S2 §5</t>
        </is>
      </c>
      <c r="D317" s="16" t="inlineStr">
        <is>
          <t>booleano</t>
        </is>
      </c>
      <c r="E317" s="16" t="inlineStr">
        <is>
          <t>=</t>
        </is>
      </c>
      <c r="F317" s="32" t="b">
        <v>1</v>
      </c>
      <c r="G317" s="33" t="b">
        <v>1</v>
      </c>
      <c r="H317" s="32">
        <f>IF(AND(ISNUMBER(F317),ISNUMBER(G317)),G317-F317,"")</f>
        <v/>
      </c>
      <c r="I317" s="16">
        <f>IF(COUNTBLANK(G317)=1,"Não executado",IF(ISNUMBER(F317)&lt;&gt;ISNUMBER(G317),"Tipo incompatível",IF(IF(E317="&lt;&gt;",G317&lt;&gt;F317,G317=F317),IF(OR(J317="",K317="",NOT(ISNUMBER(L317)),L317&lt;=0),"Evidência pendente","Compatível"),"Divergente")))</f>
        <v/>
      </c>
      <c r="J317" s="12" t="inlineStr">
        <is>
          <t>etapa6-koper/evidencias/integracao.json; comparacao-CT01-CT26.json — banco/importação, sem aceite financeiro</t>
        </is>
      </c>
      <c r="K317" s="12" t="inlineStr">
        <is>
          <t>Codex — execução automatizada isolada</t>
        </is>
      </c>
      <c r="L317" s="28" t="n">
        <v>46316.72234480324</v>
      </c>
      <c r="M317" s="16" t="str"/>
      <c r="N317" s="16" t="str"/>
      <c r="O317" s="16" t="str"/>
      <c r="P317" s="16" t="str"/>
      <c r="Q317" s="16" t="str"/>
    </row>
    <row r="318" ht="112" customHeight="1">
      <c r="A318" s="20" t="inlineStr">
        <is>
          <t>CT27</t>
        </is>
      </c>
      <c r="B318" s="20" t="inlineStr">
        <is>
          <t>before_consumption.H_cents</t>
        </is>
      </c>
      <c r="C318" s="20" t="inlineStr">
        <is>
          <t>§5, §7.1, I01, I10, I12, I13, I14</t>
        </is>
      </c>
      <c r="D318" s="20" t="inlineStr">
        <is>
          <t>centavos BRL</t>
        </is>
      </c>
      <c r="E318" s="20" t="inlineStr">
        <is>
          <t>=</t>
        </is>
      </c>
      <c r="F318" s="29" t="n">
        <v>2000000</v>
      </c>
      <c r="G318" s="30" t="n"/>
      <c r="H318" s="29">
        <f>IF(AND(ISNUMBER(F318),ISNUMBER(G318)),G318-F318,"")</f>
        <v/>
      </c>
      <c r="I318" s="20">
        <f>IF(COUNTBLANK(G318)=1,"Não executado",IF(ISNUMBER(F318)&lt;&gt;ISNUMBER(G318),"Tipo incompatível",IF(IF(E318="&lt;&gt;",G318&lt;&gt;F318,G318=F318),IF(OR(J318="",K318="",NOT(ISNUMBER(L318)),L318&lt;=0),"Evidência pendente","Compatível"),"Divergente")))</f>
        <v/>
      </c>
      <c r="J318" s="23" t="str"/>
      <c r="K318" s="23" t="str"/>
      <c r="L318" s="31" t="n"/>
      <c r="M318" s="20" t="inlineStr">
        <is>
          <t>Estoque pago e consumo econômico sem nova previsão de caixa</t>
        </is>
      </c>
      <c r="N318" s="20" t="inlineStr">
        <is>
          <t>{"contract_value_cents": 2000000, "materials_received_and_paid_cents": 2000000, "consumption_later_cents": 800000}</t>
        </is>
      </c>
      <c r="O318" s="20" t="inlineStr">
        <is>
          <t>Receber materiais e liquidar o preço com banco confirmado.
Consultar custo, estoque, ETC e Q antes do consumo.
Registrar consumo de R$ 8.000 no mesmo escopo.</t>
        </is>
      </c>
      <c r="P318" s="20" t="inlineStr">
        <is>
          <t>Após consumo: estoque = 20.000 − 8.000 = R$ 12.000; EAC = 8.000 incorridos + 12.000 a consumir = R$ 20.000.
C = 20.000 − H 20.000 = zero; R/C/P/Q permanecem zero. O estoque de R$ 12.000 não é outra compra futura.</t>
        </is>
      </c>
      <c r="Q318" s="20" t="inlineStr">
        <is>
          <t>D03 reconhece materiais por consumo. Todo o material necessário ao escopo já foi comprado, recebido e pago; não há desperdício, novo suprimento nem encargos.
Não somar compra, nota e consumo como três custos. O caixa histórico de R$ 20.000 permanece.</t>
        </is>
      </c>
    </row>
    <row r="319" ht="42" customHeight="1">
      <c r="A319" s="16" t="inlineStr">
        <is>
          <t>CT27</t>
        </is>
      </c>
      <c r="B319" s="16" t="inlineStr">
        <is>
          <t>before_consumption.R_cents</t>
        </is>
      </c>
      <c r="C319" s="16" t="inlineStr">
        <is>
          <t>§5, §7.1, I01, I10, I12, I13, I14</t>
        </is>
      </c>
      <c r="D319" s="16" t="inlineStr">
        <is>
          <t>centavos BRL</t>
        </is>
      </c>
      <c r="E319" s="16" t="inlineStr">
        <is>
          <t>=</t>
        </is>
      </c>
      <c r="F319" s="32" t="n">
        <v>0</v>
      </c>
      <c r="G319" s="33" t="n"/>
      <c r="H319" s="32">
        <f>IF(AND(ISNUMBER(F319),ISNUMBER(G319)),G319-F319,"")</f>
        <v/>
      </c>
      <c r="I319" s="16">
        <f>IF(COUNTBLANK(G319)=1,"Não executado",IF(ISNUMBER(F319)&lt;&gt;ISNUMBER(G319),"Tipo incompatível",IF(IF(E319="&lt;&gt;",G319&lt;&gt;F319,G319=F319),IF(OR(J319="",K319="",NOT(ISNUMBER(L319)),L319&lt;=0),"Evidência pendente","Compatível"),"Divergente")))</f>
        <v/>
      </c>
      <c r="J319" s="12" t="str"/>
      <c r="K319" s="12" t="str"/>
      <c r="L319" s="28" t="n"/>
      <c r="M319" s="16" t="str"/>
      <c r="N319" s="16" t="str"/>
      <c r="O319" s="16" t="str"/>
      <c r="P319" s="16" t="str"/>
      <c r="Q319" s="16" t="str"/>
    </row>
    <row r="320" ht="42" customHeight="1">
      <c r="A320" s="16" t="inlineStr">
        <is>
          <t>CT27</t>
        </is>
      </c>
      <c r="B320" s="16" t="inlineStr">
        <is>
          <t>before_consumption.C_cents</t>
        </is>
      </c>
      <c r="C320" s="16" t="inlineStr">
        <is>
          <t>§5, §7.1, I01, I10, I12, I13, I14</t>
        </is>
      </c>
      <c r="D320" s="16" t="inlineStr">
        <is>
          <t>centavos BRL</t>
        </is>
      </c>
      <c r="E320" s="16" t="inlineStr">
        <is>
          <t>=</t>
        </is>
      </c>
      <c r="F320" s="32" t="n">
        <v>0</v>
      </c>
      <c r="G320" s="33" t="n"/>
      <c r="H320" s="32">
        <f>IF(AND(ISNUMBER(F320),ISNUMBER(G320)),G320-F320,"")</f>
        <v/>
      </c>
      <c r="I320" s="16">
        <f>IF(COUNTBLANK(G320)=1,"Não executado",IF(ISNUMBER(F320)&lt;&gt;ISNUMBER(G320),"Tipo incompatível",IF(IF(E320="&lt;&gt;",G320&lt;&gt;F320,G320=F320),IF(OR(J320="",K320="",NOT(ISNUMBER(L320)),L320&lt;=0),"Evidência pendente","Compatível"),"Divergente")))</f>
        <v/>
      </c>
      <c r="J320" s="12" t="str"/>
      <c r="K320" s="12" t="str"/>
      <c r="L320" s="28" t="n"/>
      <c r="M320" s="16" t="str"/>
      <c r="N320" s="16" t="str"/>
      <c r="O320" s="16" t="str"/>
      <c r="P320" s="16" t="str"/>
      <c r="Q320" s="16" t="str"/>
    </row>
    <row r="321" ht="42" customHeight="1">
      <c r="A321" s="16" t="inlineStr">
        <is>
          <t>CT27</t>
        </is>
      </c>
      <c r="B321" s="16" t="inlineStr">
        <is>
          <t>before_consumption.P_cents</t>
        </is>
      </c>
      <c r="C321" s="16" t="inlineStr">
        <is>
          <t>§5, §7.1, I01, I10, I12, I13, I14</t>
        </is>
      </c>
      <c r="D321" s="16" t="inlineStr">
        <is>
          <t>centavos BRL</t>
        </is>
      </c>
      <c r="E321" s="16" t="inlineStr">
        <is>
          <t>=</t>
        </is>
      </c>
      <c r="F321" s="32" t="n">
        <v>0</v>
      </c>
      <c r="G321" s="33" t="n"/>
      <c r="H321" s="32">
        <f>IF(AND(ISNUMBER(F321),ISNUMBER(G321)),G321-F321,"")</f>
        <v/>
      </c>
      <c r="I321" s="16">
        <f>IF(COUNTBLANK(G321)=1,"Não executado",IF(ISNUMBER(F321)&lt;&gt;ISNUMBER(G321),"Tipo incompatível",IF(IF(E321="&lt;&gt;",G321&lt;&gt;F321,G321=F321),IF(OR(J321="",K321="",NOT(ISNUMBER(L321)),L321&lt;=0),"Evidência pendente","Compatível"),"Divergente")))</f>
        <v/>
      </c>
      <c r="J321" s="12" t="str"/>
      <c r="K321" s="12" t="str"/>
      <c r="L321" s="28" t="n"/>
      <c r="M321" s="16" t="str"/>
      <c r="N321" s="16" t="str"/>
      <c r="O321" s="16" t="str"/>
      <c r="P321" s="16" t="str"/>
      <c r="Q321" s="16" t="str"/>
    </row>
    <row r="322" ht="42" customHeight="1">
      <c r="A322" s="16" t="inlineStr">
        <is>
          <t>CT27</t>
        </is>
      </c>
      <c r="B322" s="16" t="inlineStr">
        <is>
          <t>before_consumption.Q_cents</t>
        </is>
      </c>
      <c r="C322" s="16" t="inlineStr">
        <is>
          <t>§5, §7.1, I01, I10, I12, I13, I14</t>
        </is>
      </c>
      <c r="D322" s="16" t="inlineStr">
        <is>
          <t>centavos BRL</t>
        </is>
      </c>
      <c r="E322" s="16" t="inlineStr">
        <is>
          <t>=</t>
        </is>
      </c>
      <c r="F322" s="32" t="n">
        <v>0</v>
      </c>
      <c r="G322" s="33" t="n"/>
      <c r="H322" s="32">
        <f>IF(AND(ISNUMBER(F322),ISNUMBER(G322)),G322-F322,"")</f>
        <v/>
      </c>
      <c r="I322" s="16">
        <f>IF(COUNTBLANK(G322)=1,"Não executado",IF(ISNUMBER(F322)&lt;&gt;ISNUMBER(G322),"Tipo incompatível",IF(IF(E322="&lt;&gt;",G322&lt;&gt;F322,G322=F322),IF(OR(J322="",K322="",NOT(ISNUMBER(L322)),L322&lt;=0),"Evidência pendente","Compatível"),"Divergente")))</f>
        <v/>
      </c>
      <c r="J322" s="12" t="str"/>
      <c r="K322" s="12" t="str"/>
      <c r="L322" s="28" t="n"/>
      <c r="M322" s="16" t="str"/>
      <c r="N322" s="16" t="str"/>
      <c r="O322" s="16" t="str"/>
      <c r="P322" s="16" t="str"/>
      <c r="Q322" s="16" t="str"/>
    </row>
    <row r="323" ht="42" customHeight="1">
      <c r="A323" s="16" t="inlineStr">
        <is>
          <t>CT27</t>
        </is>
      </c>
      <c r="B323" s="16" t="inlineStr">
        <is>
          <t>before_consumption.cost_cents</t>
        </is>
      </c>
      <c r="C323" s="16" t="inlineStr">
        <is>
          <t>§5, §7.1, I01, I10, I12, I13, I14</t>
        </is>
      </c>
      <c r="D323" s="16" t="inlineStr">
        <is>
          <t>centavos BRL</t>
        </is>
      </c>
      <c r="E323" s="16" t="inlineStr">
        <is>
          <t>=</t>
        </is>
      </c>
      <c r="F323" s="32" t="n">
        <v>0</v>
      </c>
      <c r="G323" s="33" t="n"/>
      <c r="H323" s="32">
        <f>IF(AND(ISNUMBER(F323),ISNUMBER(G323)),G323-F323,"")</f>
        <v/>
      </c>
      <c r="I323" s="16">
        <f>IF(COUNTBLANK(G323)=1,"Não executado",IF(ISNUMBER(F323)&lt;&gt;ISNUMBER(G323),"Tipo incompatível",IF(IF(E323="&lt;&gt;",G323&lt;&gt;F323,G323=F323),IF(OR(J323="",K323="",NOT(ISNUMBER(L323)),L323&lt;=0),"Evidência pendente","Compatível"),"Divergente")))</f>
        <v/>
      </c>
      <c r="J323" s="12" t="str"/>
      <c r="K323" s="12" t="str"/>
      <c r="L323" s="28" t="n"/>
      <c r="M323" s="16" t="str"/>
      <c r="N323" s="16" t="str"/>
      <c r="O323" s="16" t="str"/>
      <c r="P323" s="16" t="str"/>
      <c r="Q323" s="16" t="str"/>
    </row>
    <row r="324" ht="42" customHeight="1">
      <c r="A324" s="16" t="inlineStr">
        <is>
          <t>CT27</t>
        </is>
      </c>
      <c r="B324" s="16" t="inlineStr">
        <is>
          <t>before_consumption.inventory_cents</t>
        </is>
      </c>
      <c r="C324" s="16" t="inlineStr">
        <is>
          <t>§5, §7.1, I01, I10, I12, I13, I14</t>
        </is>
      </c>
      <c r="D324" s="16" t="inlineStr">
        <is>
          <t>centavos BRL</t>
        </is>
      </c>
      <c r="E324" s="16" t="inlineStr">
        <is>
          <t>=</t>
        </is>
      </c>
      <c r="F324" s="32" t="n">
        <v>2000000</v>
      </c>
      <c r="G324" s="33" t="n"/>
      <c r="H324" s="32">
        <f>IF(AND(ISNUMBER(F324),ISNUMBER(G324)),G324-F324,"")</f>
        <v/>
      </c>
      <c r="I324" s="16">
        <f>IF(COUNTBLANK(G324)=1,"Não executado",IF(ISNUMBER(F324)&lt;&gt;ISNUMBER(G324),"Tipo incompatível",IF(IF(E324="&lt;&gt;",G324&lt;&gt;F324,G324=F324),IF(OR(J324="",K324="",NOT(ISNUMBER(L324)),L324&lt;=0),"Evidência pendente","Compatível"),"Divergente")))</f>
        <v/>
      </c>
      <c r="J324" s="12" t="str"/>
      <c r="K324" s="12" t="str"/>
      <c r="L324" s="28" t="n"/>
      <c r="M324" s="16" t="str"/>
      <c r="N324" s="16" t="str"/>
      <c r="O324" s="16" t="str"/>
      <c r="P324" s="16" t="str"/>
      <c r="Q324" s="16" t="str"/>
    </row>
    <row r="325" ht="42" customHeight="1">
      <c r="A325" s="16" t="inlineStr">
        <is>
          <t>CT27</t>
        </is>
      </c>
      <c r="B325" s="16" t="inlineStr">
        <is>
          <t>before_consumption.ETC_cents</t>
        </is>
      </c>
      <c r="C325" s="16" t="inlineStr">
        <is>
          <t>§5, §7.1, I01, I10, I12, I13, I14</t>
        </is>
      </c>
      <c r="D325" s="16" t="inlineStr">
        <is>
          <t>centavos BRL</t>
        </is>
      </c>
      <c r="E325" s="16" t="inlineStr">
        <is>
          <t>=</t>
        </is>
      </c>
      <c r="F325" s="32" t="n">
        <v>2000000</v>
      </c>
      <c r="G325" s="33" t="n"/>
      <c r="H325" s="32">
        <f>IF(AND(ISNUMBER(F325),ISNUMBER(G325)),G325-F325,"")</f>
        <v/>
      </c>
      <c r="I325" s="16">
        <f>IF(COUNTBLANK(G325)=1,"Não executado",IF(ISNUMBER(F325)&lt;&gt;ISNUMBER(G325),"Tipo incompatível",IF(IF(E325="&lt;&gt;",G325&lt;&gt;F325,G325=F325),IF(OR(J325="",K325="",NOT(ISNUMBER(L325)),L325&lt;=0),"Evidência pendente","Compatível"),"Divergente")))</f>
        <v/>
      </c>
      <c r="J325" s="12" t="str"/>
      <c r="K325" s="12" t="str"/>
      <c r="L325" s="28" t="n"/>
      <c r="M325" s="16" t="str"/>
      <c r="N325" s="16" t="str"/>
      <c r="O325" s="16" t="str"/>
      <c r="P325" s="16" t="str"/>
      <c r="Q325" s="16" t="str"/>
    </row>
    <row r="326" ht="42" customHeight="1">
      <c r="A326" s="16" t="inlineStr">
        <is>
          <t>CT27</t>
        </is>
      </c>
      <c r="B326" s="16" t="inlineStr">
        <is>
          <t>before_consumption.EAC_cents</t>
        </is>
      </c>
      <c r="C326" s="16" t="inlineStr">
        <is>
          <t>§5, §7.1, I01, I10, I12, I13, I14</t>
        </is>
      </c>
      <c r="D326" s="16" t="inlineStr">
        <is>
          <t>centavos BRL</t>
        </is>
      </c>
      <c r="E326" s="16" t="inlineStr">
        <is>
          <t>=</t>
        </is>
      </c>
      <c r="F326" s="32" t="n">
        <v>2000000</v>
      </c>
      <c r="G326" s="33" t="n"/>
      <c r="H326" s="32">
        <f>IF(AND(ISNUMBER(F326),ISNUMBER(G326)),G326-F326,"")</f>
        <v/>
      </c>
      <c r="I326" s="16">
        <f>IF(COUNTBLANK(G326)=1,"Não executado",IF(ISNUMBER(F326)&lt;&gt;ISNUMBER(G326),"Tipo incompatível",IF(IF(E326="&lt;&gt;",G326&lt;&gt;F326,G326=F326),IF(OR(J326="",K326="",NOT(ISNUMBER(L326)),L326&lt;=0),"Evidência pendente","Compatível"),"Divergente")))</f>
        <v/>
      </c>
      <c r="J326" s="12" t="str"/>
      <c r="K326" s="12" t="str"/>
      <c r="L326" s="28" t="n"/>
      <c r="M326" s="16" t="str"/>
      <c r="N326" s="16" t="str"/>
      <c r="O326" s="16" t="str"/>
      <c r="P326" s="16" t="str"/>
      <c r="Q326" s="16" t="str"/>
    </row>
    <row r="327" ht="42" customHeight="1">
      <c r="A327" s="16" t="inlineStr">
        <is>
          <t>CT27</t>
        </is>
      </c>
      <c r="B327" s="16" t="inlineStr">
        <is>
          <t>after_consumption.cost_cents</t>
        </is>
      </c>
      <c r="C327" s="16" t="inlineStr">
        <is>
          <t>§5, §7.1, I01, I10, I12, I13, I14</t>
        </is>
      </c>
      <c r="D327" s="16" t="inlineStr">
        <is>
          <t>centavos BRL</t>
        </is>
      </c>
      <c r="E327" s="16" t="inlineStr">
        <is>
          <t>=</t>
        </is>
      </c>
      <c r="F327" s="32" t="n">
        <v>800000</v>
      </c>
      <c r="G327" s="33" t="n"/>
      <c r="H327" s="32">
        <f>IF(AND(ISNUMBER(F327),ISNUMBER(G327)),G327-F327,"")</f>
        <v/>
      </c>
      <c r="I327" s="16">
        <f>IF(COUNTBLANK(G327)=1,"Não executado",IF(ISNUMBER(F327)&lt;&gt;ISNUMBER(G327),"Tipo incompatível",IF(IF(E327="&lt;&gt;",G327&lt;&gt;F327,G327=F327),IF(OR(J327="",K327="",NOT(ISNUMBER(L327)),L327&lt;=0),"Evidência pendente","Compatível"),"Divergente")))</f>
        <v/>
      </c>
      <c r="J327" s="12" t="str"/>
      <c r="K327" s="12" t="str"/>
      <c r="L327" s="28" t="n"/>
      <c r="M327" s="16" t="str"/>
      <c r="N327" s="16" t="str"/>
      <c r="O327" s="16" t="str"/>
      <c r="P327" s="16" t="str"/>
      <c r="Q327" s="16" t="str"/>
    </row>
    <row r="328" ht="42" customHeight="1">
      <c r="A328" s="16" t="inlineStr">
        <is>
          <t>CT27</t>
        </is>
      </c>
      <c r="B328" s="16" t="inlineStr">
        <is>
          <t>after_consumption.inventory_cents</t>
        </is>
      </c>
      <c r="C328" s="16" t="inlineStr">
        <is>
          <t>§5, §7.1, I01, I10, I12, I13, I14</t>
        </is>
      </c>
      <c r="D328" s="16" t="inlineStr">
        <is>
          <t>centavos BRL</t>
        </is>
      </c>
      <c r="E328" s="16" t="inlineStr">
        <is>
          <t>=</t>
        </is>
      </c>
      <c r="F328" s="32" t="n">
        <v>1200000</v>
      </c>
      <c r="G328" s="33" t="n"/>
      <c r="H328" s="32">
        <f>IF(AND(ISNUMBER(F328),ISNUMBER(G328)),G328-F328,"")</f>
        <v/>
      </c>
      <c r="I328" s="16">
        <f>IF(COUNTBLANK(G328)=1,"Não executado",IF(ISNUMBER(F328)&lt;&gt;ISNUMBER(G328),"Tipo incompatível",IF(IF(E328="&lt;&gt;",G328&lt;&gt;F328,G328=F328),IF(OR(J328="",K328="",NOT(ISNUMBER(L328)),L328&lt;=0),"Evidência pendente","Compatível"),"Divergente")))</f>
        <v/>
      </c>
      <c r="J328" s="12" t="str"/>
      <c r="K328" s="12" t="str"/>
      <c r="L328" s="28" t="n"/>
      <c r="M328" s="16" t="str"/>
      <c r="N328" s="16" t="str"/>
      <c r="O328" s="16" t="str"/>
      <c r="P328" s="16" t="str"/>
      <c r="Q328" s="16" t="str"/>
    </row>
    <row r="329" ht="42" customHeight="1">
      <c r="A329" s="16" t="inlineStr">
        <is>
          <t>CT27</t>
        </is>
      </c>
      <c r="B329" s="16" t="inlineStr">
        <is>
          <t>after_consumption.ETC_cents</t>
        </is>
      </c>
      <c r="C329" s="16" t="inlineStr">
        <is>
          <t>§5, §7.1, I01, I10, I12, I13, I14</t>
        </is>
      </c>
      <c r="D329" s="16" t="inlineStr">
        <is>
          <t>centavos BRL</t>
        </is>
      </c>
      <c r="E329" s="16" t="inlineStr">
        <is>
          <t>=</t>
        </is>
      </c>
      <c r="F329" s="32" t="n">
        <v>1200000</v>
      </c>
      <c r="G329" s="33" t="n"/>
      <c r="H329" s="32">
        <f>IF(AND(ISNUMBER(F329),ISNUMBER(G329)),G329-F329,"")</f>
        <v/>
      </c>
      <c r="I329" s="16">
        <f>IF(COUNTBLANK(G329)=1,"Não executado",IF(ISNUMBER(F329)&lt;&gt;ISNUMBER(G329),"Tipo incompatível",IF(IF(E329="&lt;&gt;",G329&lt;&gt;F329,G329=F329),IF(OR(J329="",K329="",NOT(ISNUMBER(L329)),L329&lt;=0),"Evidência pendente","Compatível"),"Divergente")))</f>
        <v/>
      </c>
      <c r="J329" s="12" t="str"/>
      <c r="K329" s="12" t="str"/>
      <c r="L329" s="28" t="n"/>
      <c r="M329" s="16" t="str"/>
      <c r="N329" s="16" t="str"/>
      <c r="O329" s="16" t="str"/>
      <c r="P329" s="16" t="str"/>
      <c r="Q329" s="16" t="str"/>
    </row>
    <row r="330" ht="42" customHeight="1">
      <c r="A330" s="16" t="inlineStr">
        <is>
          <t>CT27</t>
        </is>
      </c>
      <c r="B330" s="16" t="inlineStr">
        <is>
          <t>after_consumption.EAC_cents</t>
        </is>
      </c>
      <c r="C330" s="16" t="inlineStr">
        <is>
          <t>§5, §7.1, I01, I10, I12, I13, I14</t>
        </is>
      </c>
      <c r="D330" s="16" t="inlineStr">
        <is>
          <t>centavos BRL</t>
        </is>
      </c>
      <c r="E330" s="16" t="inlineStr">
        <is>
          <t>=</t>
        </is>
      </c>
      <c r="F330" s="32" t="n">
        <v>2000000</v>
      </c>
      <c r="G330" s="33" t="n"/>
      <c r="H330" s="32">
        <f>IF(AND(ISNUMBER(F330),ISNUMBER(G330)),G330-F330,"")</f>
        <v/>
      </c>
      <c r="I330" s="16">
        <f>IF(COUNTBLANK(G330)=1,"Não executado",IF(ISNUMBER(F330)&lt;&gt;ISNUMBER(G330),"Tipo incompatível",IF(IF(E330="&lt;&gt;",G330&lt;&gt;F330,G330=F330),IF(OR(J330="",K330="",NOT(ISNUMBER(L330)),L330&lt;=0),"Evidência pendente","Compatível"),"Divergente")))</f>
        <v/>
      </c>
      <c r="J330" s="12" t="str"/>
      <c r="K330" s="12" t="str"/>
      <c r="L330" s="28" t="n"/>
      <c r="M330" s="16" t="str"/>
      <c r="N330" s="16" t="str"/>
      <c r="O330" s="16" t="str"/>
      <c r="P330" s="16" t="str"/>
      <c r="Q330" s="16" t="str"/>
    </row>
    <row r="331" ht="42" customHeight="1">
      <c r="A331" s="16" t="inlineStr">
        <is>
          <t>CT27</t>
        </is>
      </c>
      <c r="B331" s="16" t="inlineStr">
        <is>
          <t>after_consumption.Q_cents</t>
        </is>
      </c>
      <c r="C331" s="16" t="inlineStr">
        <is>
          <t>§5, §7.1, I01, I10, I12, I13, I14</t>
        </is>
      </c>
      <c r="D331" s="16" t="inlineStr">
        <is>
          <t>centavos BRL</t>
        </is>
      </c>
      <c r="E331" s="16" t="inlineStr">
        <is>
          <t>=</t>
        </is>
      </c>
      <c r="F331" s="32" t="n">
        <v>0</v>
      </c>
      <c r="G331" s="33" t="n"/>
      <c r="H331" s="32">
        <f>IF(AND(ISNUMBER(F331),ISNUMBER(G331)),G331-F331,"")</f>
        <v/>
      </c>
      <c r="I331" s="16">
        <f>IF(COUNTBLANK(G331)=1,"Não executado",IF(ISNUMBER(F331)&lt;&gt;ISNUMBER(G331),"Tipo incompatível",IF(IF(E331="&lt;&gt;",G331&lt;&gt;F331,G331=F331),IF(OR(J331="",K331="",NOT(ISNUMBER(L331)),L331&lt;=0),"Evidência pendente","Compatível"),"Divergente")))</f>
        <v/>
      </c>
      <c r="J331" s="12" t="str"/>
      <c r="K331" s="12" t="str"/>
      <c r="L331" s="28" t="n"/>
      <c r="M331" s="16" t="str"/>
      <c r="N331" s="16" t="str"/>
      <c r="O331" s="16" t="str"/>
      <c r="P331" s="16" t="str"/>
      <c r="Q331" s="16" t="str"/>
    </row>
    <row r="332" ht="42" customHeight="1">
      <c r="A332" s="16" t="inlineStr">
        <is>
          <t>CT27</t>
        </is>
      </c>
      <c r="B332" s="16" t="inlineStr">
        <is>
          <t>after_consumption.new_cash_cents</t>
        </is>
      </c>
      <c r="C332" s="16" t="inlineStr">
        <is>
          <t>§5, §7.1, I01, I10, I12, I13, I14</t>
        </is>
      </c>
      <c r="D332" s="16" t="inlineStr">
        <is>
          <t>centavos BRL</t>
        </is>
      </c>
      <c r="E332" s="16" t="inlineStr">
        <is>
          <t>=</t>
        </is>
      </c>
      <c r="F332" s="32" t="n">
        <v>0</v>
      </c>
      <c r="G332" s="33" t="n"/>
      <c r="H332" s="32">
        <f>IF(AND(ISNUMBER(F332),ISNUMBER(G332)),G332-F332,"")</f>
        <v/>
      </c>
      <c r="I332" s="16">
        <f>IF(COUNTBLANK(G332)=1,"Não executado",IF(ISNUMBER(F332)&lt;&gt;ISNUMBER(G332),"Tipo incompatível",IF(IF(E332="&lt;&gt;",G332&lt;&gt;F332,G332=F332),IF(OR(J332="",K332="",NOT(ISNUMBER(L332)),L332&lt;=0),"Evidência pendente","Compatível"),"Divergente")))</f>
        <v/>
      </c>
      <c r="J332" s="12" t="str"/>
      <c r="K332" s="12" t="str"/>
      <c r="L332" s="28" t="n"/>
      <c r="M332" s="16" t="str"/>
      <c r="N332" s="16" t="str"/>
      <c r="O332" s="16" t="str"/>
      <c r="P332" s="16" t="str"/>
      <c r="Q332" s="16" t="str"/>
    </row>
    <row r="333" ht="112" customHeight="1">
      <c r="A333" s="20" t="inlineStr">
        <is>
          <t>CT28</t>
        </is>
      </c>
      <c r="B333" s="20" t="inlineStr">
        <is>
          <t>supplier_open_cents</t>
        </is>
      </c>
      <c r="C333" s="20" t="inlineStr">
        <is>
          <t>§7.1, §12.2, I05, I08, I09, I10, I11, I12, I13, I14</t>
        </is>
      </c>
      <c r="D333" s="20" t="inlineStr">
        <is>
          <t>centavos BRL</t>
        </is>
      </c>
      <c r="E333" s="20" t="inlineStr">
        <is>
          <t>=</t>
        </is>
      </c>
      <c r="F333" s="29" t="n">
        <v>8000000</v>
      </c>
      <c r="G333" s="30" t="n"/>
      <c r="H333" s="29">
        <f>IF(AND(ISNUMBER(F333),ISNUMBER(G333)),G333-F333,"")</f>
        <v/>
      </c>
      <c r="I333" s="20">
        <f>IF(COUNTBLANK(G333)=1,"Não executado",IF(ISNUMBER(F333)&lt;&gt;ISNUMBER(G333),"Tipo incompatível",IF(IF(E333="&lt;&gt;",G333&lt;&gt;F333,G333=F333),IF(OR(J333="",K333="",NOT(ISNUMBER(L333)),L333&lt;=0),"Evidência pendente","Compatível"),"Divergente")))</f>
        <v/>
      </c>
      <c r="J333" s="23" t="str"/>
      <c r="K333" s="23" t="str"/>
      <c r="L333" s="31" t="n"/>
      <c r="M333" s="20" t="inlineStr">
        <is>
          <t>Cobertura integrada com adiantamento retenção e escopo descoberto</t>
        </is>
      </c>
      <c r="N333" s="20" t="inlineStr">
        <is>
          <t>{"V_cents": 120000000, "accepted_cost_cents": 30000000, "supplier_component_cents": 24000000, "withheld_tax_cents": 3000000, "retention_cents": 3000000, "advance_paid_cents": 12000000, "advance_applied_cents": 6000000, "other_principal_paid_cents": 10000000, "P_cents": 20000000}</t>
        </is>
      </c>
      <c r="O333" s="20" t="inlineStr">
        <is>
          <t>Pagar adiantamento, aceitar medição e seus componentes, aplicar parte do crédito e registrar outro pagamento.
Consultar os dois mapas de cobertura e todos os componentes até conclusão.</t>
        </is>
      </c>
      <c r="P333" s="20" t="inlineStr">
        <is>
          <t>Fornecedor = 240.000 − 60.000 − 100.000 = R$ 80.000. R = 80.000 + 30.000 + 30.000 = R$ 140.000. H = 120.000 + 100.000 = R$ 220.000.
C = 1.200.000 − 220.000 − 140.000 = R$ 840.000. Q = 140.000 + 840.000 + 200.000 = R$ 1.180.000.
ETC = 900.000 + 200.000 = R$ 1.100.000. EAC = 300.000 + 1.100.000 = R$ 1.400.000. Adiantamento disponível R$ 60.000 já está refletido; não deduzir de Q outra vez.</t>
        </is>
      </c>
      <c r="Q333" s="20" t="inlineStr">
        <is>
          <t>Mesmo escopo e base monetária do exemplo 12.2; AF zero. Retenção e tributo de terceiro integram o preço. Escopo descoberto é adicional e não sobreposto.
Retenção e tributo são partes de R. O cabeçalho não cria uma quarta obrigação.</t>
        </is>
      </c>
    </row>
    <row r="334" ht="42" customHeight="1">
      <c r="A334" s="16" t="inlineStr">
        <is>
          <t>CT28</t>
        </is>
      </c>
      <c r="B334" s="16" t="inlineStr">
        <is>
          <t>tax_open_cents</t>
        </is>
      </c>
      <c r="C334" s="16" t="inlineStr">
        <is>
          <t>§7.1, §12.2, I05, I08, I09, I10, I11, I12, I13, I14</t>
        </is>
      </c>
      <c r="D334" s="16" t="inlineStr">
        <is>
          <t>centavos BRL</t>
        </is>
      </c>
      <c r="E334" s="16" t="inlineStr">
        <is>
          <t>=</t>
        </is>
      </c>
      <c r="F334" s="32" t="n">
        <v>3000000</v>
      </c>
      <c r="G334" s="33" t="n"/>
      <c r="H334" s="32">
        <f>IF(AND(ISNUMBER(F334),ISNUMBER(G334)),G334-F334,"")</f>
        <v/>
      </c>
      <c r="I334" s="16">
        <f>IF(COUNTBLANK(G334)=1,"Não executado",IF(ISNUMBER(F334)&lt;&gt;ISNUMBER(G334),"Tipo incompatível",IF(IF(E334="&lt;&gt;",G334&lt;&gt;F334,G334=F334),IF(OR(J334="",K334="",NOT(ISNUMBER(L334)),L334&lt;=0),"Evidência pendente","Compatível"),"Divergente")))</f>
        <v/>
      </c>
      <c r="J334" s="12" t="str"/>
      <c r="K334" s="12" t="str"/>
      <c r="L334" s="28" t="n"/>
      <c r="M334" s="16" t="str"/>
      <c r="N334" s="16" t="str"/>
      <c r="O334" s="16" t="str"/>
      <c r="P334" s="16" t="str"/>
      <c r="Q334" s="16" t="str"/>
    </row>
    <row r="335" ht="42" customHeight="1">
      <c r="A335" s="16" t="inlineStr">
        <is>
          <t>CT28</t>
        </is>
      </c>
      <c r="B335" s="16" t="inlineStr">
        <is>
          <t>retention_open_cents</t>
        </is>
      </c>
      <c r="C335" s="16" t="inlineStr">
        <is>
          <t>§7.1, §12.2, I05, I08, I09, I10, I11, I12, I13, I14</t>
        </is>
      </c>
      <c r="D335" s="16" t="inlineStr">
        <is>
          <t>centavos BRL</t>
        </is>
      </c>
      <c r="E335" s="16" t="inlineStr">
        <is>
          <t>=</t>
        </is>
      </c>
      <c r="F335" s="32" t="n">
        <v>3000000</v>
      </c>
      <c r="G335" s="33" t="n"/>
      <c r="H335" s="32">
        <f>IF(AND(ISNUMBER(F335),ISNUMBER(G335)),G335-F335,"")</f>
        <v/>
      </c>
      <c r="I335" s="16">
        <f>IF(COUNTBLANK(G335)=1,"Não executado",IF(ISNUMBER(F335)&lt;&gt;ISNUMBER(G335),"Tipo incompatível",IF(IF(E335="&lt;&gt;",G335&lt;&gt;F335,G335=F335),IF(OR(J335="",K335="",NOT(ISNUMBER(L335)),L335&lt;=0),"Evidência pendente","Compatível"),"Divergente")))</f>
        <v/>
      </c>
      <c r="J335" s="12" t="str"/>
      <c r="K335" s="12" t="str"/>
      <c r="L335" s="28" t="n"/>
      <c r="M335" s="16" t="str"/>
      <c r="N335" s="16" t="str"/>
      <c r="O335" s="16" t="str"/>
      <c r="P335" s="16" t="str"/>
      <c r="Q335" s="16" t="str"/>
    </row>
    <row r="336" ht="42" customHeight="1">
      <c r="A336" s="16" t="inlineStr">
        <is>
          <t>CT28</t>
        </is>
      </c>
      <c r="B336" s="16" t="inlineStr">
        <is>
          <t>R_cents</t>
        </is>
      </c>
      <c r="C336" s="16" t="inlineStr">
        <is>
          <t>§7.1, §12.2, I05, I08, I09, I10, I11, I12, I13, I14</t>
        </is>
      </c>
      <c r="D336" s="16" t="inlineStr">
        <is>
          <t>centavos BRL</t>
        </is>
      </c>
      <c r="E336" s="16" t="inlineStr">
        <is>
          <t>=</t>
        </is>
      </c>
      <c r="F336" s="32" t="n">
        <v>14000000</v>
      </c>
      <c r="G336" s="33" t="n"/>
      <c r="H336" s="32">
        <f>IF(AND(ISNUMBER(F336),ISNUMBER(G336)),G336-F336,"")</f>
        <v/>
      </c>
      <c r="I336" s="16">
        <f>IF(COUNTBLANK(G336)=1,"Não executado",IF(ISNUMBER(F336)&lt;&gt;ISNUMBER(G336),"Tipo incompatível",IF(IF(E336="&lt;&gt;",G336&lt;&gt;F336,G336=F336),IF(OR(J336="",K336="",NOT(ISNUMBER(L336)),L336&lt;=0),"Evidência pendente","Compatível"),"Divergente")))</f>
        <v/>
      </c>
      <c r="J336" s="12" t="str"/>
      <c r="K336" s="12" t="str"/>
      <c r="L336" s="28" t="n"/>
      <c r="M336" s="16" t="str"/>
      <c r="N336" s="16" t="str"/>
      <c r="O336" s="16" t="str"/>
      <c r="P336" s="16" t="str"/>
      <c r="Q336" s="16" t="str"/>
    </row>
    <row r="337" ht="42" customHeight="1">
      <c r="A337" s="16" t="inlineStr">
        <is>
          <t>CT28</t>
        </is>
      </c>
      <c r="B337" s="16" t="inlineStr">
        <is>
          <t>H_cents</t>
        </is>
      </c>
      <c r="C337" s="16" t="inlineStr">
        <is>
          <t>§7.1, §12.2, I05, I08, I09, I10, I11, I12, I13, I14</t>
        </is>
      </c>
      <c r="D337" s="16" t="inlineStr">
        <is>
          <t>centavos BRL</t>
        </is>
      </c>
      <c r="E337" s="16" t="inlineStr">
        <is>
          <t>=</t>
        </is>
      </c>
      <c r="F337" s="32" t="n">
        <v>22000000</v>
      </c>
      <c r="G337" s="33" t="n"/>
      <c r="H337" s="32">
        <f>IF(AND(ISNUMBER(F337),ISNUMBER(G337)),G337-F337,"")</f>
        <v/>
      </c>
      <c r="I337" s="16">
        <f>IF(COUNTBLANK(G337)=1,"Não executado",IF(ISNUMBER(F337)&lt;&gt;ISNUMBER(G337),"Tipo incompatível",IF(IF(E337="&lt;&gt;",G337&lt;&gt;F337,G337=F337),IF(OR(J337="",K337="",NOT(ISNUMBER(L337)),L337&lt;=0),"Evidência pendente","Compatível"),"Divergente")))</f>
        <v/>
      </c>
      <c r="J337" s="12" t="str"/>
      <c r="K337" s="12" t="str"/>
      <c r="L337" s="28" t="n"/>
      <c r="M337" s="16" t="str"/>
      <c r="N337" s="16" t="str"/>
      <c r="O337" s="16" t="str"/>
      <c r="P337" s="16" t="str"/>
      <c r="Q337" s="16" t="str"/>
    </row>
    <row r="338" ht="42" customHeight="1">
      <c r="A338" s="16" t="inlineStr">
        <is>
          <t>CT28</t>
        </is>
      </c>
      <c r="B338" s="16" t="inlineStr">
        <is>
          <t>advance_available_cents</t>
        </is>
      </c>
      <c r="C338" s="16" t="inlineStr">
        <is>
          <t>§7.1, §12.2, I05, I08, I09, I10, I11, I12, I13, I14</t>
        </is>
      </c>
      <c r="D338" s="16" t="inlineStr">
        <is>
          <t>centavos BRL</t>
        </is>
      </c>
      <c r="E338" s="16" t="inlineStr">
        <is>
          <t>=</t>
        </is>
      </c>
      <c r="F338" s="32" t="n">
        <v>6000000</v>
      </c>
      <c r="G338" s="33" t="n"/>
      <c r="H338" s="32">
        <f>IF(AND(ISNUMBER(F338),ISNUMBER(G338)),G338-F338,"")</f>
        <v/>
      </c>
      <c r="I338" s="16">
        <f>IF(COUNTBLANK(G338)=1,"Não executado",IF(ISNUMBER(F338)&lt;&gt;ISNUMBER(G338),"Tipo incompatível",IF(IF(E338="&lt;&gt;",G338&lt;&gt;F338,G338=F338),IF(OR(J338="",K338="",NOT(ISNUMBER(L338)),L338&lt;=0),"Evidência pendente","Compatível"),"Divergente")))</f>
        <v/>
      </c>
      <c r="J338" s="12" t="str"/>
      <c r="K338" s="12" t="str"/>
      <c r="L338" s="28" t="n"/>
      <c r="M338" s="16" t="str"/>
      <c r="N338" s="16" t="str"/>
      <c r="O338" s="16" t="str"/>
      <c r="P338" s="16" t="str"/>
      <c r="Q338" s="16" t="str"/>
    </row>
    <row r="339" ht="42" customHeight="1">
      <c r="A339" s="16" t="inlineStr">
        <is>
          <t>CT28</t>
        </is>
      </c>
      <c r="B339" s="16" t="inlineStr">
        <is>
          <t>C_cents</t>
        </is>
      </c>
      <c r="C339" s="16" t="inlineStr">
        <is>
          <t>§7.1, §12.2, I05, I08, I09, I10, I11, I12, I13, I14</t>
        </is>
      </c>
      <c r="D339" s="16" t="inlineStr">
        <is>
          <t>centavos BRL</t>
        </is>
      </c>
      <c r="E339" s="16" t="inlineStr">
        <is>
          <t>=</t>
        </is>
      </c>
      <c r="F339" s="32" t="n">
        <v>84000000</v>
      </c>
      <c r="G339" s="33" t="n"/>
      <c r="H339" s="32">
        <f>IF(AND(ISNUMBER(F339),ISNUMBER(G339)),G339-F339,"")</f>
        <v/>
      </c>
      <c r="I339" s="16">
        <f>IF(COUNTBLANK(G339)=1,"Não executado",IF(ISNUMBER(F339)&lt;&gt;ISNUMBER(G339),"Tipo incompatível",IF(IF(E339="&lt;&gt;",G339&lt;&gt;F339,G339=F339),IF(OR(J339="",K339="",NOT(ISNUMBER(L339)),L339&lt;=0),"Evidência pendente","Compatível"),"Divergente")))</f>
        <v/>
      </c>
      <c r="J339" s="12" t="str"/>
      <c r="K339" s="12" t="str"/>
      <c r="L339" s="28" t="n"/>
      <c r="M339" s="16" t="str"/>
      <c r="N339" s="16" t="str"/>
      <c r="O339" s="16" t="str"/>
      <c r="P339" s="16" t="str"/>
      <c r="Q339" s="16" t="str"/>
    </row>
    <row r="340" ht="42" customHeight="1">
      <c r="A340" s="16" t="inlineStr">
        <is>
          <t>CT28</t>
        </is>
      </c>
      <c r="B340" s="16" t="inlineStr">
        <is>
          <t>P_cents</t>
        </is>
      </c>
      <c r="C340" s="16" t="inlineStr">
        <is>
          <t>§7.1, §12.2, I05, I08, I09, I10, I11, I12, I13, I14</t>
        </is>
      </c>
      <c r="D340" s="16" t="inlineStr">
        <is>
          <t>centavos BRL</t>
        </is>
      </c>
      <c r="E340" s="16" t="inlineStr">
        <is>
          <t>=</t>
        </is>
      </c>
      <c r="F340" s="32" t="n">
        <v>20000000</v>
      </c>
      <c r="G340" s="33" t="n"/>
      <c r="H340" s="32">
        <f>IF(AND(ISNUMBER(F340),ISNUMBER(G340)),G340-F340,"")</f>
        <v/>
      </c>
      <c r="I340" s="16">
        <f>IF(COUNTBLANK(G340)=1,"Não executado",IF(ISNUMBER(F340)&lt;&gt;ISNUMBER(G340),"Tipo incompatível",IF(IF(E340="&lt;&gt;",G340&lt;&gt;F340,G340=F340),IF(OR(J340="",K340="",NOT(ISNUMBER(L340)),L340&lt;=0),"Evidência pendente","Compatível"),"Divergente")))</f>
        <v/>
      </c>
      <c r="J340" s="12" t="str"/>
      <c r="K340" s="12" t="str"/>
      <c r="L340" s="28" t="n"/>
      <c r="M340" s="16" t="str"/>
      <c r="N340" s="16" t="str"/>
      <c r="O340" s="16" t="str"/>
      <c r="P340" s="16" t="str"/>
      <c r="Q340" s="16" t="str"/>
    </row>
    <row r="341" ht="42" customHeight="1">
      <c r="A341" s="16" t="inlineStr">
        <is>
          <t>CT28</t>
        </is>
      </c>
      <c r="B341" s="16" t="inlineStr">
        <is>
          <t>Q_cents</t>
        </is>
      </c>
      <c r="C341" s="16" t="inlineStr">
        <is>
          <t>§7.1, §12.2, I05, I08, I09, I10, I11, I12, I13, I14</t>
        </is>
      </c>
      <c r="D341" s="16" t="inlineStr">
        <is>
          <t>centavos BRL</t>
        </is>
      </c>
      <c r="E341" s="16" t="inlineStr">
        <is>
          <t>=</t>
        </is>
      </c>
      <c r="F341" s="32" t="n">
        <v>118000000</v>
      </c>
      <c r="G341" s="33" t="n"/>
      <c r="H341" s="32">
        <f>IF(AND(ISNUMBER(F341),ISNUMBER(G341)),G341-F341,"")</f>
        <v/>
      </c>
      <c r="I341" s="16">
        <f>IF(COUNTBLANK(G341)=1,"Não executado",IF(ISNUMBER(F341)&lt;&gt;ISNUMBER(G341),"Tipo incompatível",IF(IF(E341="&lt;&gt;",G341&lt;&gt;F341,G341=F341),IF(OR(J341="",K341="",NOT(ISNUMBER(L341)),L341&lt;=0),"Evidência pendente","Compatível"),"Divergente")))</f>
        <v/>
      </c>
      <c r="J341" s="12" t="str"/>
      <c r="K341" s="12" t="str"/>
      <c r="L341" s="28" t="n"/>
      <c r="M341" s="16" t="str"/>
      <c r="N341" s="16" t="str"/>
      <c r="O341" s="16" t="str"/>
      <c r="P341" s="16" t="str"/>
      <c r="Q341" s="16" t="str"/>
    </row>
    <row r="342" ht="42" customHeight="1">
      <c r="A342" s="16" t="inlineStr">
        <is>
          <t>CT28</t>
        </is>
      </c>
      <c r="B342" s="16" t="inlineStr">
        <is>
          <t>ETC_cents</t>
        </is>
      </c>
      <c r="C342" s="16" t="inlineStr">
        <is>
          <t>§7.1, §12.2, I05, I08, I09, I10, I11, I12, I13, I14</t>
        </is>
      </c>
      <c r="D342" s="16" t="inlineStr">
        <is>
          <t>centavos BRL</t>
        </is>
      </c>
      <c r="E342" s="16" t="inlineStr">
        <is>
          <t>=</t>
        </is>
      </c>
      <c r="F342" s="32" t="n">
        <v>110000000</v>
      </c>
      <c r="G342" s="33" t="n"/>
      <c r="H342" s="32">
        <f>IF(AND(ISNUMBER(F342),ISNUMBER(G342)),G342-F342,"")</f>
        <v/>
      </c>
      <c r="I342" s="16">
        <f>IF(COUNTBLANK(G342)=1,"Não executado",IF(ISNUMBER(F342)&lt;&gt;ISNUMBER(G342),"Tipo incompatível",IF(IF(E342="&lt;&gt;",G342&lt;&gt;F342,G342=F342),IF(OR(J342="",K342="",NOT(ISNUMBER(L342)),L342&lt;=0),"Evidência pendente","Compatível"),"Divergente")))</f>
        <v/>
      </c>
      <c r="J342" s="12" t="str"/>
      <c r="K342" s="12" t="str"/>
      <c r="L342" s="28" t="n"/>
      <c r="M342" s="16" t="str"/>
      <c r="N342" s="16" t="str"/>
      <c r="O342" s="16" t="str"/>
      <c r="P342" s="16" t="str"/>
      <c r="Q342" s="16" t="str"/>
    </row>
    <row r="343" ht="42" customHeight="1">
      <c r="A343" s="16" t="inlineStr">
        <is>
          <t>CT28</t>
        </is>
      </c>
      <c r="B343" s="16" t="inlineStr">
        <is>
          <t>EAC_cents</t>
        </is>
      </c>
      <c r="C343" s="16" t="inlineStr">
        <is>
          <t>§7.1, §12.2, I05, I08, I09, I10, I11, I12, I13, I14</t>
        </is>
      </c>
      <c r="D343" s="16" t="inlineStr">
        <is>
          <t>centavos BRL</t>
        </is>
      </c>
      <c r="E343" s="16" t="inlineStr">
        <is>
          <t>=</t>
        </is>
      </c>
      <c r="F343" s="32" t="n">
        <v>140000000</v>
      </c>
      <c r="G343" s="33" t="n"/>
      <c r="H343" s="32">
        <f>IF(AND(ISNUMBER(F343),ISNUMBER(G343)),G343-F343,"")</f>
        <v/>
      </c>
      <c r="I343" s="16">
        <f>IF(COUNTBLANK(G343)=1,"Não executado",IF(ISNUMBER(F343)&lt;&gt;ISNUMBER(G343),"Tipo incompatível",IF(IF(E343="&lt;&gt;",G343&lt;&gt;F343,G343=F343),IF(OR(J343="",K343="",NOT(ISNUMBER(L343)),L343&lt;=0),"Evidência pendente","Compatível"),"Divergente")))</f>
        <v/>
      </c>
      <c r="J343" s="12" t="str"/>
      <c r="K343" s="12" t="str"/>
      <c r="L343" s="28" t="n"/>
      <c r="M343" s="16" t="str"/>
      <c r="N343" s="16" t="str"/>
      <c r="O343" s="16" t="str"/>
      <c r="P343" s="16" t="str"/>
      <c r="Q343" s="16" t="str"/>
    </row>
    <row r="344" ht="112" customHeight="1">
      <c r="A344" s="20" t="inlineStr">
        <is>
          <t>CT29</t>
        </is>
      </c>
      <c r="B344" s="20" t="inlineStr">
        <is>
          <t>available_opening_cents</t>
        </is>
      </c>
      <c r="C344" s="20" t="inlineStr">
        <is>
          <t>§12.7, I20, I21, D04</t>
        </is>
      </c>
      <c r="D344" s="20" t="inlineStr">
        <is>
          <t>centavos BRL</t>
        </is>
      </c>
      <c r="E344" s="20" t="inlineStr">
        <is>
          <t>=</t>
        </is>
      </c>
      <c r="F344" s="29" t="n">
        <v>10000000</v>
      </c>
      <c r="G344" s="30" t="n"/>
      <c r="H344" s="29">
        <f>IF(AND(ISNUMBER(F344),ISNUMBER(G344)),G344-F344,"")</f>
        <v/>
      </c>
      <c r="I344" s="20">
        <f>IF(COUNTBLANK(G344)=1,"Não executado",IF(ISNUMBER(F344)&lt;&gt;ISNUMBER(G344),"Tipo incompatível",IF(IF(E344="&lt;&gt;",G344&lt;&gt;F344,G344=F344),IF(OR(J344="",K344="",NOT(ISNUMBER(L344)),L344&lt;=0),"Evidência pendente","Compatível"),"Divergente")))</f>
        <v/>
      </c>
      <c r="J344" s="23" t="str"/>
      <c r="K344" s="23" t="str"/>
      <c r="L344" s="31" t="n"/>
      <c r="M344" s="20" t="inlineStr">
        <is>
          <t>Disponibilidade restrições e financiamento contado uma vez</t>
        </is>
      </c>
      <c r="N344" s="20" t="inlineStr">
        <is>
          <t>{"bank_opening_cents": 12000000, "restricted_cents": 2000000, "unused_credit_limit_cents": 7000000, "minimum_cash_cents": 2000000, "monthly_inflows_cents": [6000000, 8000000], "monthly_outflows_cents": [12000000, 15000000], "principal_amortization_already_in_month2_cents": 2000000}</t>
        </is>
      </c>
      <c r="O344" s="20" t="inlineStr">
        <is>
          <t>Calcular disponibilidade elegível inicial.
Projetar dois meses sem acrescentar novamente a amortização.
Apurar maior insuficiência contra o caixa mínimo.</t>
        </is>
      </c>
      <c r="P344" s="20" t="inlineStr">
        <is>
          <t>Disponibilidade = 120.000 − 20.000 = R$ 100.000. M1 = 100.000 + 60.000 − 120.000 = R$ 40.000.
M2 = 40.000 + 80.000 − 150.000 = menos R$ 30.000. Necessidade = máximo de zero, 20.000 − 40.000 e 20.000 − (−30.000) = R$ 50.000.</t>
        </is>
      </c>
      <c r="Q344" s="20" t="inlineStr">
        <is>
          <t>D04: as saídas de R$ 150.000 do mês 2 já incluem R$ 20.000 de amortização de principal. Perímetro e agenda completos.
Não deduzir outra vez os R$ 20.000 de principal. O limite de R$ 70.000 não utilizado não compõe caixa.</t>
        </is>
      </c>
    </row>
    <row r="345" ht="42" customHeight="1">
      <c r="A345" s="16" t="inlineStr">
        <is>
          <t>CT29</t>
        </is>
      </c>
      <c r="B345" s="16" t="inlineStr">
        <is>
          <t>closing_month1_cents</t>
        </is>
      </c>
      <c r="C345" s="16" t="inlineStr">
        <is>
          <t>§12.7, I20, I21, D04</t>
        </is>
      </c>
      <c r="D345" s="16" t="inlineStr">
        <is>
          <t>centavos BRL</t>
        </is>
      </c>
      <c r="E345" s="16" t="inlineStr">
        <is>
          <t>=</t>
        </is>
      </c>
      <c r="F345" s="32" t="n">
        <v>4000000</v>
      </c>
      <c r="G345" s="33" t="n"/>
      <c r="H345" s="32">
        <f>IF(AND(ISNUMBER(F345),ISNUMBER(G345)),G345-F345,"")</f>
        <v/>
      </c>
      <c r="I345" s="16">
        <f>IF(COUNTBLANK(G345)=1,"Não executado",IF(ISNUMBER(F345)&lt;&gt;ISNUMBER(G345),"Tipo incompatível",IF(IF(E345="&lt;&gt;",G345&lt;&gt;F345,G345=F345),IF(OR(J345="",K345="",NOT(ISNUMBER(L345)),L345&lt;=0),"Evidência pendente","Compatível"),"Divergente")))</f>
        <v/>
      </c>
      <c r="J345" s="12" t="str"/>
      <c r="K345" s="12" t="str"/>
      <c r="L345" s="28" t="n"/>
      <c r="M345" s="16" t="str"/>
      <c r="N345" s="16" t="str"/>
      <c r="O345" s="16" t="str"/>
      <c r="P345" s="16" t="str"/>
      <c r="Q345" s="16" t="str"/>
    </row>
    <row r="346" ht="42" customHeight="1">
      <c r="A346" s="16" t="inlineStr">
        <is>
          <t>CT29</t>
        </is>
      </c>
      <c r="B346" s="16" t="inlineStr">
        <is>
          <t>closing_month2_cents</t>
        </is>
      </c>
      <c r="C346" s="16" t="inlineStr">
        <is>
          <t>§12.7, I20, I21, D04</t>
        </is>
      </c>
      <c r="D346" s="16" t="inlineStr">
        <is>
          <t>centavos BRL</t>
        </is>
      </c>
      <c r="E346" s="16" t="inlineStr">
        <is>
          <t>=</t>
        </is>
      </c>
      <c r="F346" s="32" t="n">
        <v>-3000000</v>
      </c>
      <c r="G346" s="33" t="n"/>
      <c r="H346" s="32">
        <f>IF(AND(ISNUMBER(F346),ISNUMBER(G346)),G346-F346,"")</f>
        <v/>
      </c>
      <c r="I346" s="16">
        <f>IF(COUNTBLANK(G346)=1,"Não executado",IF(ISNUMBER(F346)&lt;&gt;ISNUMBER(G346),"Tipo incompatível",IF(IF(E346="&lt;&gt;",G346&lt;&gt;F346,G346=F346),IF(OR(J346="",K346="",NOT(ISNUMBER(L346)),L346&lt;=0),"Evidência pendente","Compatível"),"Divergente")))</f>
        <v/>
      </c>
      <c r="J346" s="12" t="str"/>
      <c r="K346" s="12" t="str"/>
      <c r="L346" s="28" t="n"/>
      <c r="M346" s="16" t="str"/>
      <c r="N346" s="16" t="str"/>
      <c r="O346" s="16" t="str"/>
      <c r="P346" s="16" t="str"/>
      <c r="Q346" s="16" t="str"/>
    </row>
    <row r="347" ht="42" customHeight="1">
      <c r="A347" s="16" t="inlineStr">
        <is>
          <t>CT29</t>
        </is>
      </c>
      <c r="B347" s="16" t="inlineStr">
        <is>
          <t>peak_additional_funding_cents</t>
        </is>
      </c>
      <c r="C347" s="16" t="inlineStr">
        <is>
          <t>§12.7, I20, I21, D04</t>
        </is>
      </c>
      <c r="D347" s="16" t="inlineStr">
        <is>
          <t>centavos BRL</t>
        </is>
      </c>
      <c r="E347" s="16" t="inlineStr">
        <is>
          <t>=</t>
        </is>
      </c>
      <c r="F347" s="32" t="n">
        <v>5000000</v>
      </c>
      <c r="G347" s="33" t="n"/>
      <c r="H347" s="32">
        <f>IF(AND(ISNUMBER(F347),ISNUMBER(G347)),G347-F347,"")</f>
        <v/>
      </c>
      <c r="I347" s="16">
        <f>IF(COUNTBLANK(G347)=1,"Não executado",IF(ISNUMBER(F347)&lt;&gt;ISNUMBER(G347),"Tipo incompatível",IF(IF(E347="&lt;&gt;",G347&lt;&gt;F347,G347=F347),IF(OR(J347="",K347="",NOT(ISNUMBER(L347)),L347&lt;=0),"Evidência pendente","Compatível"),"Divergente")))</f>
        <v/>
      </c>
      <c r="J347" s="12" t="str"/>
      <c r="K347" s="12" t="str"/>
      <c r="L347" s="28" t="n"/>
      <c r="M347" s="16" t="str"/>
      <c r="N347" s="16" t="str"/>
      <c r="O347" s="16" t="str"/>
      <c r="P347" s="16" t="str"/>
      <c r="Q347" s="16" t="str"/>
    </row>
    <row r="348" ht="42" customHeight="1">
      <c r="A348" s="16" t="inlineStr">
        <is>
          <t>CT29</t>
        </is>
      </c>
      <c r="B348" s="16" t="inlineStr">
        <is>
          <t>additional_amortization_duplicate_cents</t>
        </is>
      </c>
      <c r="C348" s="16" t="inlineStr">
        <is>
          <t>§12.7, I20, I21, D04</t>
        </is>
      </c>
      <c r="D348" s="16" t="inlineStr">
        <is>
          <t>centavos BRL</t>
        </is>
      </c>
      <c r="E348" s="16" t="inlineStr">
        <is>
          <t>=</t>
        </is>
      </c>
      <c r="F348" s="32" t="n">
        <v>0</v>
      </c>
      <c r="G348" s="33" t="n"/>
      <c r="H348" s="32">
        <f>IF(AND(ISNUMBER(F348),ISNUMBER(G348)),G348-F348,"")</f>
        <v/>
      </c>
      <c r="I348" s="16">
        <f>IF(COUNTBLANK(G348)=1,"Não executado",IF(ISNUMBER(F348)&lt;&gt;ISNUMBER(G348),"Tipo incompatível",IF(IF(E348="&lt;&gt;",G348&lt;&gt;F348,G348=F348),IF(OR(J348="",K348="",NOT(ISNUMBER(L348)),L348&lt;=0),"Evidência pendente","Compatível"),"Divergente")))</f>
        <v/>
      </c>
      <c r="J348" s="12" t="str"/>
      <c r="K348" s="12" t="str"/>
      <c r="L348" s="28" t="n"/>
      <c r="M348" s="16" t="str"/>
      <c r="N348" s="16" t="str"/>
      <c r="O348" s="16" t="str"/>
      <c r="P348" s="16" t="str"/>
      <c r="Q348" s="16" t="str"/>
    </row>
    <row r="349" ht="42" customHeight="1">
      <c r="A349" s="16" t="inlineStr">
        <is>
          <t>CT29</t>
        </is>
      </c>
      <c r="B349" s="16" t="inlineStr">
        <is>
          <t>unused_limit_in_available_cash_cents</t>
        </is>
      </c>
      <c r="C349" s="16" t="inlineStr">
        <is>
          <t>§12.7, I20, I21, D04</t>
        </is>
      </c>
      <c r="D349" s="16" t="inlineStr">
        <is>
          <t>centavos BRL</t>
        </is>
      </c>
      <c r="E349" s="16" t="inlineStr">
        <is>
          <t>=</t>
        </is>
      </c>
      <c r="F349" s="32" t="n">
        <v>0</v>
      </c>
      <c r="G349" s="33" t="n"/>
      <c r="H349" s="32">
        <f>IF(AND(ISNUMBER(F349),ISNUMBER(G349)),G349-F349,"")</f>
        <v/>
      </c>
      <c r="I349" s="16">
        <f>IF(COUNTBLANK(G349)=1,"Não executado",IF(ISNUMBER(F349)&lt;&gt;ISNUMBER(G349),"Tipo incompatível",IF(IF(E349="&lt;&gt;",G349&lt;&gt;F349,G349=F349),IF(OR(J349="",K349="",NOT(ISNUMBER(L349)),L349&lt;=0),"Evidência pendente","Compatível"),"Divergente")))</f>
        <v/>
      </c>
      <c r="J349" s="12" t="str"/>
      <c r="K349" s="12" t="str"/>
      <c r="L349" s="28" t="n"/>
      <c r="M349" s="16" t="str"/>
      <c r="N349" s="16" t="str"/>
      <c r="O349" s="16" t="str"/>
      <c r="P349" s="16" t="str"/>
      <c r="Q349" s="16" t="str"/>
    </row>
    <row r="350" ht="112" customHeight="1">
      <c r="A350" s="20" t="inlineStr">
        <is>
          <t>CT30</t>
        </is>
      </c>
      <c r="B350" s="20" t="inlineStr">
        <is>
          <t>open_payable_cents</t>
        </is>
      </c>
      <c r="C350" s="20" t="inlineStr">
        <is>
          <t>§5, §8.1, I02, I03, I09</t>
        </is>
      </c>
      <c r="D350" s="20" t="inlineStr">
        <is>
          <t>centavos BRL</t>
        </is>
      </c>
      <c r="E350" s="20" t="inlineStr">
        <is>
          <t>=</t>
        </is>
      </c>
      <c r="F350" s="29" t="n">
        <v>0</v>
      </c>
      <c r="G350" s="30" t="n"/>
      <c r="H350" s="29">
        <f>IF(AND(ISNUMBER(F350),ISNUMBER(G350)),G350-F350,"")</f>
        <v/>
      </c>
      <c r="I350" s="20">
        <f>IF(COUNTBLANK(G350)=1,"Não executado",IF(ISNUMBER(F350)&lt;&gt;ISNUMBER(G350),"Tipo incompatível",IF(IF(E350="&lt;&gt;",G350&lt;&gt;F350,G350=F350),IF(OR(J350="",K350="",NOT(ISNUMBER(L350)),L350&lt;=0),"Evidência pendente","Compatível"),"Divergente")))</f>
        <v/>
      </c>
      <c r="J350" s="23" t="str"/>
      <c r="K350" s="23" t="str"/>
      <c r="L350" s="31" t="n"/>
      <c r="M350" s="20" t="inlineStr">
        <is>
          <t>Liquidação excedente identificada como crédito</t>
        </is>
      </c>
      <c r="N350" s="20" t="inlineStr">
        <is>
          <t>{"title_principal_cents": 100000, "bank_payment_cents": 120000, "approved_excess_classification": "refund_receivable"}</t>
        </is>
      </c>
      <c r="O350" s="20" t="inlineStr">
        <is>
          <t>Receber evento financeiro maior que a dívida.
Alocar R$ 1.000 ao título e R$ 200 ao crédito documentado.
Tentar alocar todo o pagamento novamente no título.</t>
        </is>
      </c>
      <c r="P350" s="20" t="inlineStr">
        <is>
          <t>Excesso = 1.200 − 1.000 = R$ 200. R$ 1.000 liquida dívida e R$ 200 preserva direito; caixa histórico permanece R$ 1.200.</t>
        </is>
      </c>
      <c r="Q350" s="20" t="inlineStr">
        <is>
          <t>Título único válido de R$ 1.000 e saída comprovada de R$ 1.200. Financeiro identifica o excesso como crédito a restituir, sem outro escopo contratual.
Saldo negativo não é apagado por limite artificial em zero. Sem documento de classificação, conservar pendência em vez de aprovar o crédito automaticamente.</t>
        </is>
      </c>
    </row>
    <row r="351" ht="42" customHeight="1">
      <c r="A351" s="16" t="inlineStr">
        <is>
          <t>CT30</t>
        </is>
      </c>
      <c r="B351" s="16" t="inlineStr">
        <is>
          <t>principal_settled_cents</t>
        </is>
      </c>
      <c r="C351" s="16" t="inlineStr">
        <is>
          <t>§5, §8.1, I02, I03, I09</t>
        </is>
      </c>
      <c r="D351" s="16" t="inlineStr">
        <is>
          <t>centavos BRL</t>
        </is>
      </c>
      <c r="E351" s="16" t="inlineStr">
        <is>
          <t>=</t>
        </is>
      </c>
      <c r="F351" s="32" t="n">
        <v>100000</v>
      </c>
      <c r="G351" s="33" t="n"/>
      <c r="H351" s="32">
        <f>IF(AND(ISNUMBER(F351),ISNUMBER(G351)),G351-F351,"")</f>
        <v/>
      </c>
      <c r="I351" s="16">
        <f>IF(COUNTBLANK(G351)=1,"Não executado",IF(ISNUMBER(F351)&lt;&gt;ISNUMBER(G351),"Tipo incompatível",IF(IF(E351="&lt;&gt;",G351&lt;&gt;F351,G351=F351),IF(OR(J351="",K351="",NOT(ISNUMBER(L351)),L351&lt;=0),"Evidência pendente","Compatível"),"Divergente")))</f>
        <v/>
      </c>
      <c r="J351" s="12" t="str"/>
      <c r="K351" s="12" t="str"/>
      <c r="L351" s="28" t="n"/>
      <c r="M351" s="16" t="str"/>
      <c r="N351" s="16" t="str"/>
      <c r="O351" s="16" t="str"/>
      <c r="P351" s="16" t="str"/>
      <c r="Q351" s="16" t="str"/>
    </row>
    <row r="352" ht="42" customHeight="1">
      <c r="A352" s="16" t="inlineStr">
        <is>
          <t>CT30</t>
        </is>
      </c>
      <c r="B352" s="16" t="inlineStr">
        <is>
          <t>refund_receivable_cents</t>
        </is>
      </c>
      <c r="C352" s="16" t="inlineStr">
        <is>
          <t>§5, §8.1, I02, I03, I09</t>
        </is>
      </c>
      <c r="D352" s="16" t="inlineStr">
        <is>
          <t>centavos BRL</t>
        </is>
      </c>
      <c r="E352" s="16" t="inlineStr">
        <is>
          <t>=</t>
        </is>
      </c>
      <c r="F352" s="32" t="n">
        <v>20000</v>
      </c>
      <c r="G352" s="33" t="n"/>
      <c r="H352" s="32">
        <f>IF(AND(ISNUMBER(F352),ISNUMBER(G352)),G352-F352,"")</f>
        <v/>
      </c>
      <c r="I352" s="16">
        <f>IF(COUNTBLANK(G352)=1,"Não executado",IF(ISNUMBER(F352)&lt;&gt;ISNUMBER(G352),"Tipo incompatível",IF(IF(E352="&lt;&gt;",G352&lt;&gt;F352,G352=F352),IF(OR(J352="",K352="",NOT(ISNUMBER(L352)),L352&lt;=0),"Evidência pendente","Compatível"),"Divergente")))</f>
        <v/>
      </c>
      <c r="J352" s="12" t="str"/>
      <c r="K352" s="12" t="str"/>
      <c r="L352" s="28" t="n"/>
      <c r="M352" s="16" t="str"/>
      <c r="N352" s="16" t="str"/>
      <c r="O352" s="16" t="str"/>
      <c r="P352" s="16" t="str"/>
      <c r="Q352" s="16" t="str"/>
    </row>
    <row r="353" ht="42" customHeight="1">
      <c r="A353" s="16" t="inlineStr">
        <is>
          <t>CT30</t>
        </is>
      </c>
      <c r="B353" s="16" t="inlineStr">
        <is>
          <t>confirmed_cash_outflow_cents</t>
        </is>
      </c>
      <c r="C353" s="16" t="inlineStr">
        <is>
          <t>§5, §8.1, I02, I03, I09</t>
        </is>
      </c>
      <c r="D353" s="16" t="inlineStr">
        <is>
          <t>centavos BRL</t>
        </is>
      </c>
      <c r="E353" s="16" t="inlineStr">
        <is>
          <t>=</t>
        </is>
      </c>
      <c r="F353" s="32" t="n">
        <v>120000</v>
      </c>
      <c r="G353" s="33" t="n"/>
      <c r="H353" s="32">
        <f>IF(AND(ISNUMBER(F353),ISNUMBER(G353)),G353-F353,"")</f>
        <v/>
      </c>
      <c r="I353" s="16">
        <f>IF(COUNTBLANK(G353)=1,"Não executado",IF(ISNUMBER(F353)&lt;&gt;ISNUMBER(G353),"Tipo incompatível",IF(IF(E353="&lt;&gt;",G353&lt;&gt;F353,G353=F353),IF(OR(J353="",K353="",NOT(ISNUMBER(L353)),L353&lt;=0),"Evidência pendente","Compatível"),"Divergente")))</f>
        <v/>
      </c>
      <c r="J353" s="12" t="str"/>
      <c r="K353" s="12" t="str"/>
      <c r="L353" s="28" t="n"/>
      <c r="M353" s="16" t="str"/>
      <c r="N353" s="16" t="str"/>
      <c r="O353" s="16" t="str"/>
      <c r="P353" s="16" t="str"/>
      <c r="Q353" s="16" t="str"/>
    </row>
    <row r="354" ht="42" customHeight="1">
      <c r="A354" s="16" t="inlineStr">
        <is>
          <t>CT30</t>
        </is>
      </c>
      <c r="B354" s="16" t="inlineStr">
        <is>
          <t>unexplained_negative_balance_cents</t>
        </is>
      </c>
      <c r="C354" s="16" t="inlineStr">
        <is>
          <t>§5, §8.1, I02, I03, I09</t>
        </is>
      </c>
      <c r="D354" s="16" t="inlineStr">
        <is>
          <t>centavos BRL</t>
        </is>
      </c>
      <c r="E354" s="16" t="inlineStr">
        <is>
          <t>=</t>
        </is>
      </c>
      <c r="F354" s="32" t="n">
        <v>0</v>
      </c>
      <c r="G354" s="33" t="n"/>
      <c r="H354" s="32">
        <f>IF(AND(ISNUMBER(F354),ISNUMBER(G354)),G354-F354,"")</f>
        <v/>
      </c>
      <c r="I354" s="16">
        <f>IF(COUNTBLANK(G354)=1,"Não executado",IF(ISNUMBER(F354)&lt;&gt;ISNUMBER(G354),"Tipo incompatível",IF(IF(E354="&lt;&gt;",G354&lt;&gt;F354,G354=F354),IF(OR(J354="",K354="",NOT(ISNUMBER(L354)),L354&lt;=0),"Evidência pendente","Compatível"),"Divergente")))</f>
        <v/>
      </c>
      <c r="J354" s="12" t="str"/>
      <c r="K354" s="12" t="str"/>
      <c r="L354" s="28" t="n"/>
      <c r="M354" s="16" t="str"/>
      <c r="N354" s="16" t="str"/>
      <c r="O354" s="16" t="str"/>
      <c r="P354" s="16" t="str"/>
      <c r="Q354" s="16" t="str"/>
    </row>
    <row r="355" ht="42" customHeight="1">
      <c r="A355" s="16" t="inlineStr">
        <is>
          <t>CT30</t>
        </is>
      </c>
      <c r="B355" s="16" t="inlineStr">
        <is>
          <t>second_allocation_mutations</t>
        </is>
      </c>
      <c r="C355" s="16" t="inlineStr">
        <is>
          <t>§5, §8.1, I02, I03, I09</t>
        </is>
      </c>
      <c r="D355" s="16" t="inlineStr">
        <is>
          <t>número</t>
        </is>
      </c>
      <c r="E355" s="16" t="inlineStr">
        <is>
          <t>=</t>
        </is>
      </c>
      <c r="F355" s="32" t="n">
        <v>0</v>
      </c>
      <c r="G355" s="33" t="n"/>
      <c r="H355" s="32">
        <f>IF(AND(ISNUMBER(F355),ISNUMBER(G355)),G355-F355,"")</f>
        <v/>
      </c>
      <c r="I355" s="16">
        <f>IF(COUNTBLANK(G355)=1,"Não executado",IF(ISNUMBER(F355)&lt;&gt;ISNUMBER(G355),"Tipo incompatível",IF(IF(E355="&lt;&gt;",G355&lt;&gt;F355,G355=F355),IF(OR(J355="",K355="",NOT(ISNUMBER(L355)),L355&lt;=0),"Evidência pendente","Compatível"),"Divergente")))</f>
        <v/>
      </c>
      <c r="J355" s="12" t="str"/>
      <c r="K355" s="12" t="str"/>
      <c r="L355" s="28" t="n"/>
      <c r="M355" s="16" t="str"/>
      <c r="N355" s="16" t="str"/>
      <c r="O355" s="16" t="str"/>
      <c r="P355" s="16" t="str"/>
      <c r="Q355" s="16" t="str"/>
    </row>
  </sheetData>
  <conditionalFormatting sqref="I10:I355">
    <cfRule type="containsText" priority="1" operator="containsText" dxfId="1" text="Divergente"/>
    <cfRule type="containsText" priority="2" operator="containsText" dxfId="1" text="Tipo incompatível"/>
    <cfRule type="containsText" priority="3" operator="containsText" dxfId="0" text="Evidência pendente"/>
  </conditionalFormatting>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I58"/>
  <sheetViews>
    <sheetView showGridLines="0" workbookViewId="0">
      <pane xSplit="2" ySplit="13" topLeftCell="C14" activePane="bottomRight" state="frozen"/>
      <selection activeCell="A1" sqref="A1"/>
    </sheetView>
  </sheetViews>
  <sheetFormatPr baseColWidth="8" defaultRowHeight="15"/>
  <cols>
    <col width="10" customWidth="1" min="1" max="1"/>
    <col width="55" customWidth="1" min="2" max="2"/>
    <col width="55" customWidth="1" min="3" max="3"/>
    <col width="75" customWidth="1" min="4" max="4"/>
    <col width="65" customWidth="1" min="5" max="5"/>
    <col width="80" customWidth="1" min="6" max="6"/>
    <col width="70" customWidth="1" min="7" max="7"/>
    <col width="40" customWidth="1" min="8" max="8"/>
    <col width="27" customWidth="1" min="9" max="9"/>
  </cols>
  <sheetData>
    <row r="1" ht="10" customHeight="1">
      <c r="A1" s="14" t="n"/>
      <c r="B1" s="14" t="n"/>
      <c r="C1" s="14" t="n"/>
      <c r="D1" s="14" t="n"/>
      <c r="E1" s="14" t="n"/>
      <c r="F1" s="14" t="n"/>
      <c r="G1" s="14" t="n"/>
      <c r="H1" s="14" t="n"/>
      <c r="I1" s="14" t="n"/>
    </row>
    <row r="2" ht="25" customHeight="1">
      <c r="A2" s="3" t="inlineStr">
        <is>
          <t>Critérios e evidências por tarefa</t>
        </is>
      </c>
      <c r="B2" s="14" t="n"/>
      <c r="C2" s="14" t="n"/>
      <c r="D2" s="14" t="n"/>
      <c r="E2" s="14" t="n"/>
      <c r="F2" s="14" t="n"/>
      <c r="G2" s="14" t="n"/>
      <c r="H2" s="14" t="n"/>
      <c r="I2" s="14" t="n"/>
    </row>
    <row r="3">
      <c r="A3" s="4" t="n"/>
      <c r="B3" s="4" t="n"/>
      <c r="C3" s="4" t="n"/>
      <c r="D3" s="4" t="n"/>
      <c r="E3" s="4" t="n"/>
      <c r="F3" s="4" t="n"/>
      <c r="G3" s="4" t="n"/>
      <c r="H3" s="4" t="n"/>
      <c r="I3" s="4" t="n"/>
    </row>
    <row r="4" ht="44" customHeight="1">
      <c r="A4" s="15" t="inlineStr">
        <is>
          <t>S1</t>
        </is>
      </c>
      <c r="B4" s="15" t="inlineStr">
        <is>
          <t>Catalogo_Conferencia_Financeira_Elos_OS.html</t>
        </is>
      </c>
      <c r="C4" s="15" t="inlineStr">
        <is>
          <t>Diagnóstico documental da base histórica, não saldo atual</t>
        </is>
      </c>
      <c r="D4" s="14" t="n"/>
      <c r="E4" s="14" t="n"/>
      <c r="F4" s="14" t="n"/>
      <c r="G4" s="14" t="n"/>
      <c r="H4" s="14" t="n"/>
      <c r="I4" s="14" t="n"/>
    </row>
    <row r="5" ht="44" customHeight="1">
      <c r="A5" s="15" t="inlineStr">
        <is>
          <t>S2</t>
        </is>
      </c>
      <c r="B5" s="15" t="inlineStr">
        <is>
          <t>Elos_OS_Koper_Handoff_Claude.docx</t>
        </is>
      </c>
      <c r="C5" s="15" t="inlineStr">
        <is>
          <t>Estado conhecido até fim de setembro/início de outubro de 2026</t>
        </is>
      </c>
      <c r="D5" s="14" t="n"/>
      <c r="E5" s="14" t="n"/>
      <c r="F5" s="14" t="n"/>
      <c r="G5" s="14" t="n"/>
      <c r="H5" s="14" t="n"/>
      <c r="I5" s="14" t="n"/>
    </row>
    <row r="6" ht="44" customHeight="1">
      <c r="A6" s="15" t="inlineStr">
        <is>
          <t>S3</t>
        </is>
      </c>
      <c r="B6" s="15" t="inlineStr">
        <is>
          <t>Base_Conferencia_Financeira_Elos_OS.zip</t>
        </is>
      </c>
      <c r="C6" s="15" t="inlineStr">
        <is>
          <t>Fontes e derivados preservados com vínculos fonte/aba/linha</t>
        </is>
      </c>
      <c r="D6" s="14" t="n"/>
      <c r="E6" s="14" t="n"/>
      <c r="F6" s="14" t="n"/>
      <c r="G6" s="14" t="n"/>
      <c r="H6" s="14" t="n"/>
      <c r="I6" s="14" t="n"/>
    </row>
    <row r="7" ht="44" customHeight="1">
      <c r="A7" s="15" t="inlineStr">
        <is>
          <t>S4</t>
        </is>
      </c>
      <c r="B7" s="15" t="inlineStr">
        <is>
          <t>Elos_OS_Regras_Financeiras_v0_1.docx</t>
        </is>
      </c>
      <c r="C7" s="15" t="inlineStr">
        <is>
          <t>Referência de comportamento esperado, não evidência de implementação</t>
        </is>
      </c>
      <c r="D7" s="14" t="n"/>
      <c r="E7" s="14" t="n"/>
      <c r="F7" s="14" t="n"/>
      <c r="G7" s="14" t="n"/>
      <c r="H7" s="14" t="n"/>
      <c r="I7" s="14" t="n"/>
    </row>
    <row r="8">
      <c r="A8" s="14" t="n"/>
      <c r="B8" s="14" t="n"/>
      <c r="C8" s="14" t="n"/>
      <c r="D8" s="14" t="n"/>
      <c r="E8" s="14" t="n"/>
      <c r="F8" s="14" t="n"/>
      <c r="G8" s="14" t="n"/>
      <c r="H8" s="14" t="n"/>
      <c r="I8" s="14" t="n"/>
    </row>
    <row r="9">
      <c r="A9" s="14" t="inlineStr">
        <is>
          <t>Base normativa: Regras financeiras v0.1. Os achados históricos precisam ser reproduzidos antes de serem tratados como defeitos atuais.</t>
        </is>
      </c>
      <c r="B9" s="14" t="n"/>
      <c r="C9" s="14" t="n"/>
      <c r="D9" s="14" t="n"/>
      <c r="E9" s="14" t="n"/>
      <c r="F9" s="14" t="n"/>
      <c r="G9" s="14" t="n"/>
      <c r="H9" s="14" t="n"/>
      <c r="I9" s="14" t="n"/>
    </row>
    <row r="10">
      <c r="A10" s="14" t="inlineStr">
        <is>
          <t>SHA-256 do documento de regras: 30f19b5ef98157d72c32a9c471c8893bac3b17a60167d6a417a346c6efb36c28</t>
        </is>
      </c>
      <c r="B10" s="14" t="n"/>
      <c r="C10" s="14" t="n"/>
      <c r="D10" s="14" t="n"/>
      <c r="E10" s="14" t="n"/>
      <c r="F10" s="14" t="n"/>
      <c r="G10" s="14" t="n"/>
      <c r="H10" s="14" t="n"/>
      <c r="I10" s="14" t="n"/>
    </row>
    <row r="11">
      <c r="A11" s="14" t="inlineStr">
        <is>
          <t>Reuso: localizar a capacidade existente, demonstrar o mesmo aceite e corrigir somente a lacuna comprovada.</t>
        </is>
      </c>
      <c r="B11" s="14" t="n"/>
      <c r="C11" s="14" t="n"/>
      <c r="D11" s="14" t="n"/>
      <c r="E11" s="14" t="n"/>
      <c r="F11" s="14" t="n"/>
      <c r="G11" s="14" t="n"/>
      <c r="H11" s="14" t="n"/>
      <c r="I11" s="14" t="n"/>
    </row>
    <row r="12">
      <c r="A12" s="14" t="n"/>
      <c r="B12" s="14" t="n"/>
      <c r="C12" s="14" t="n"/>
      <c r="D12" s="14" t="n"/>
      <c r="E12" s="14" t="n"/>
      <c r="F12" s="14" t="n"/>
      <c r="G12" s="14" t="n"/>
      <c r="H12" s="14" t="n"/>
      <c r="I12" s="14" t="n"/>
    </row>
    <row r="13" ht="38" customHeight="1">
      <c r="A13" s="8" t="inlineStr">
        <is>
          <t>ID</t>
        </is>
      </c>
      <c r="B13" s="8" t="inlineStr">
        <is>
          <t>Problema</t>
        </is>
      </c>
      <c r="C13" s="8" t="inlineStr">
        <is>
          <t>Resultado esperado</t>
        </is>
      </c>
      <c r="D13" s="8" t="inlineStr">
        <is>
          <t>Escopo</t>
        </is>
      </c>
      <c r="E13" s="8" t="inlineStr">
        <is>
          <t>Dados necessários</t>
        </is>
      </c>
      <c r="F13" s="8" t="inlineStr">
        <is>
          <t>Critério de aceite</t>
        </is>
      </c>
      <c r="G13" s="8" t="inlineStr">
        <is>
          <t>Evidência necessária para concluir</t>
        </is>
      </c>
      <c r="H13" s="8" t="inlineStr">
        <is>
          <t>Fontes e regras</t>
        </is>
      </c>
      <c r="I13" s="8" t="inlineStr">
        <is>
          <t>Casos de teste</t>
        </is>
      </c>
    </row>
    <row r="14" ht="96" customHeight="1">
      <c r="A14" s="16" t="inlineStr">
        <is>
          <t>T01</t>
        </is>
      </c>
      <c r="B14" s="16" t="inlineStr">
        <is>
          <t>O material histórico não demonstra a implementação nem os saldos atuais; corrigir sem reprodução pode destruir comportamentos válidos.</t>
        </is>
      </c>
      <c r="C14" s="16" t="inlineStr">
        <is>
          <t>Mapa do código, integrações e capacidades existentes, com cada achado classificado como confirmado, não reproduzido ou sem dados.</t>
        </is>
      </c>
      <c r="D14" s="16" t="inlineStr">
        <is>
          <t>Inspeção somente leitura de repositório, esquema, integrações, políticas de acesso e testes; capturar versão do código e snapshot de homologação; localizar todos os cálculos financeiros e consumidores. Localizar também os jobs de importação e patches descritos no handoff, verificar configuração, credencial e log de uma execução autorizada ou de homologação, sem considerar workflow criado como workflow executado.</t>
        </is>
      </c>
      <c r="E14" s="16" t="inlineStr">
        <is>
          <t>Repositório e revisão de código, esquema autorizado, catálogo S1, handoff S2, snapshot mascarado ou ambiente fictício, variáveis de escopo sem segredos.</t>
        </is>
      </c>
      <c r="F14" s="16" t="inlineStr">
        <is>
          <t>Cada achado histórico tem roteiro reexecutável e evidência atual ou indicação expressa de não verificável; mapa identifica capacidade reaproveitável e seu teste existente; nenhum dado produtivo foi alterado. Para cada job existente, separar a prova de que foi executado da avaliação de que seu resultado ficou correto; se faltar prova, registrar não verificado.</t>
        </is>
      </c>
      <c r="G14" s="16" t="inlineStr">
        <is>
          <t>Matriz achado→fonte→componente→evidência; commit/base e comandos executados; inventário dos pontos de entrada e integrações. Para jobs, configuração vigente, execução identificável, revisão do código e resultado do lote.</t>
        </is>
      </c>
      <c r="H14" s="16" t="inlineStr">
        <is>
          <t>S1, S2, §14, D14</t>
        </is>
      </c>
      <c r="I14" s="16" t="inlineStr">
        <is>
          <t>CT01, CT21, CT24, CT26</t>
        </is>
      </c>
    </row>
    <row r="15" ht="96" customHeight="1">
      <c r="A15" s="16" t="inlineStr">
        <is>
          <t>T02</t>
        </is>
      </c>
      <c r="B15" s="16" t="inlineStr">
        <is>
          <t>As regras aceitas para planejamento possuem decisões operacionais que não podem ser preenchidas pelo programador por suposição.</t>
        </is>
      </c>
      <c r="C15" s="16" t="inlineStr">
        <is>
          <t>Um registro versionado identifica a base normativa e diferencia escolha já documentada, premissa fictícia de teste e parâmetro ainda não informado.</t>
        </is>
      </c>
      <c r="D15" s="16" t="inlineStr">
        <is>
          <t>Mapear D01–D14 para configuração, alcance, responsável e vigência; usar o texto do usuário como aceitação da base para planejamento sem inventar escolhas de taxas, alçadas ou contabilidade; liberar tarefas sem dependência de parâmetro pendente.</t>
        </is>
      </c>
      <c r="E15" s="16" t="inlineStr">
        <is>
          <t>Versão/hash das regras, decisões existentes do financeiro, entidades/contas/obras do perímetro e regras contratuais disponíveis.</t>
        </is>
      </c>
      <c r="F15" s="16" t="inlineStr">
        <is>
          <t>Todos os D01–D14 têm estado e referência; nenhuma taxa, data ou regra de rateio é inventada; uma tarefa dependente de parâmetro ausente acusa exatamente o impedimento.</t>
        </is>
      </c>
      <c r="G15" s="16" t="inlineStr">
        <is>
          <t>Registro de política e matriz decisão→tarefas→testes; campos pendentes explicitados e aprovador quando existente.</t>
        </is>
      </c>
      <c r="H15" s="16" t="inlineStr">
        <is>
          <t>§13, D01–D14</t>
        </is>
      </c>
      <c r="I15" s="16" t="inlineStr">
        <is>
          <t>CT04, CT11, CT20</t>
        </is>
      </c>
    </row>
    <row r="16" ht="109" customHeight="1">
      <c r="A16" s="16" t="inlineStr">
        <is>
          <t>T03</t>
        </is>
      </c>
      <c r="B16" s="16" t="inlineStr">
        <is>
          <t>Testes que copiam o cálculo atual não verificam se ele obedece à regra.</t>
        </is>
      </c>
      <c r="C16" s="16" t="inlineStr">
        <is>
          <t>Conjunto de cenários isolados, com entradas/eventos, resultados fixos calculados por regra e comparador independente das funções produtivas.</t>
        </is>
      </c>
      <c r="D16" s="16" t="inlineStr">
        <is>
          <t>Fixtures em duas organizações e entidades fictícias; dinheiro em centavos; datas controladas T/K; dataset reiniciável; registrar esperado e obtido em campos distintos; nenhum dado real do cliente no teste. Usar identidade administrativa apenas para criar a massa em ambiente descartável; não liberar rotas ou backfill em base compartilhada.</t>
        </is>
      </c>
      <c r="E16" s="16" t="inlineStr">
        <is>
          <t>Casos deste plano, política de teste explícita, harness de testes existente e ambiente descartável.</t>
        </is>
      </c>
      <c r="F16" s="16" t="inlineStr">
        <is>
          <t>Cada cenário tem cálculos explícitos, regra e pré-condições; o comparador não importa o mesmo algoritmo usado para calcular os resultados; execução pode ser repetida sem acumular dados.</t>
        </is>
      </c>
      <c r="G16" s="16" t="inlineStr">
        <is>
          <t>Fixtures versionadas, expected fixos, comando do runner e relatório de teste da infraestrutura com ao menos um caso propositalmente falho detectado.</t>
        </is>
      </c>
      <c r="H16" s="16" t="inlineStr">
        <is>
          <t>§12, §14</t>
        </is>
      </c>
      <c r="I16" s="16" t="inlineStr">
        <is>
          <t>CT01, CT02, CT03, CT04, CT05, CT06, CT07, CT08, CT09, CT10, CT11, CT12, CT13, CT14, CT15, CT16, CT17, CT18, CT19, CT20, CT21, CT22, CT23, CT24, CT25, CT26, CT27, CT28, CT29, CT30</t>
        </is>
      </c>
    </row>
    <row r="17" ht="96" customHeight="1">
      <c r="A17" s="16" t="inlineStr">
        <is>
          <t>T04</t>
        </is>
      </c>
      <c r="B17" s="16" t="inlineStr">
        <is>
          <t>Número de documento, nome ou CNPJ da matriz não identifica sozinho registro, obra ou perímetro de acesso.</t>
        </is>
      </c>
      <c r="C17" s="16" t="inlineStr">
        <is>
          <t>Chaves internas estáveis e chave de origem corretamente delimitada; organização, entidade legal, obra e conta permanecem dimensões distintas.</t>
        </is>
      </c>
      <c r="D17" s="16" t="inlineStr">
        <is>
          <t>Reusar IDs e relações existentes; preencher apenas lacunas de escopo; namespace organização/origem/tipo/ID externo, parcela/item se entidades distintas; quarentena quando a entidade não é comprovada.</t>
        </is>
      </c>
      <c r="E17" s="16" t="inlineStr">
        <is>
          <t>Modelo atual, IDs de origem, relação organização→entidades e titularidade das contas; amostra de colisões.</t>
        </is>
      </c>
      <c r="F17" s="16" t="inlineStr">
        <is>
          <t>Mesmo ID externo em duas organizações cria duas identidades isoladas; reimportação não altera ID; origem sem entidade é preservada mas não entra em consolidado definitivo.</t>
        </is>
      </c>
      <c r="G17" s="16" t="inlineStr">
        <is>
          <t>Diff mínimo de esquema ou prova de adequação; teste de colisão cross-organization; consulta de integridade sem registros órfãos criados.</t>
        </is>
      </c>
      <c r="H17" s="16" t="inlineStr">
        <is>
          <t>§4, §9, D01, D02</t>
        </is>
      </c>
      <c r="I17" s="16" t="inlineStr">
        <is>
          <t>CT01, CT02, CT24</t>
        </is>
      </c>
    </row>
    <row r="18" ht="96" customHeight="1">
      <c r="A18" s="16" t="inlineStr">
        <is>
          <t>T05</t>
        </is>
      </c>
      <c r="B18" s="16" t="inlineStr">
        <is>
          <t>O isolamento financeiro entre empresas não foi verificado; filtros visuais não bastam como evidência.</t>
        </is>
      </c>
      <c r="C18" s="16" t="inlineStr">
        <is>
          <t>Todas as leituras e escritas financeiras exigem contexto autenticado e vínculo autorizado à organização/entidade.</t>
        </is>
      </c>
      <c r="D18" s="16" t="inlineStr">
        <is>
          <t>Reusar mecanismo de autorização existente; testar manipulação de IDs, filtros e payloads nos endpoints e relações; proteger consultas agregadas e política de banco existente; não escolher framework novo sem necessidade.</t>
        </is>
      </c>
      <c r="E18" s="16" t="inlineStr">
        <is>
          <t>Perfis fictícios A/B, permissões documentadas, endpoints e esquema encontrados em T01, controles de banco existentes.</t>
        </is>
      </c>
      <c r="F18" s="16" t="inlineStr">
        <is>
          <t>Usuário de A não lê, altera, vincula nem agrega registros de B por ID conhecido ou filtro manipulado; operação rejeitada não muda saldos; perfil autorizado de duas entidades segue escopo explícito.</t>
        </is>
      </c>
      <c r="G18" s="16" t="inlineStr">
        <is>
          <t>Testes negativos de API e persistência, respostas sanitizadas, consultas antes/depois e revisão da política de acesso.</t>
        </is>
      </c>
      <c r="H18" s="16" t="inlineStr">
        <is>
          <t>§4, D02, D13</t>
        </is>
      </c>
      <c r="I18" s="16" t="inlineStr">
        <is>
          <t>CT24</t>
        </is>
      </c>
    </row>
    <row r="19" ht="96" customHeight="1">
      <c r="A19" s="16" t="inlineStr">
        <is>
          <t>T06</t>
        </is>
      </c>
      <c r="B19" s="16" t="inlineStr">
        <is>
          <t>Valores brutos, líquidos, juros, descontos e retenções podem ser confundidos; diferença não pode ser absorvida silenciosamente.</t>
        </is>
      </c>
      <c r="C19" s="16" t="inlineStr">
        <is>
          <t>Valores decimais e componentes com natureza e fundamento, fechando no centavo.</t>
        </is>
      </c>
      <c r="D19" s="16" t="inlineStr">
        <is>
          <t>Convenção monetária e arredondamento; principal, juros, multa, correção, desconto, tarifa, retenção e compensação; ausência é nula, não zero; saldo negativo gera crédito ou exceção.</t>
        </is>
      </c>
      <c r="E19" s="16" t="inlineStr">
        <is>
          <t>Política monetária, campos existentes, composição documental e exemplos aprovados.</t>
        </is>
      </c>
      <c r="F19" s="16" t="inlineStr">
        <is>
          <t>Operações preservam centavos; não há dupla subtração de desconto; valores ausentes não viram zero; excedente de liquidação aparece como crédito/exceção identificada.</t>
        </is>
      </c>
      <c r="G19" s="16" t="inlineStr">
        <is>
          <t>Testes de centavos e componentes, diff de tipos ou prova de precisão existente, exemplos de saída detalhada.</t>
        </is>
      </c>
      <c r="H19" s="16" t="inlineStr">
        <is>
          <t>§5, D06, D07, D08</t>
        </is>
      </c>
      <c r="I19" s="16" t="inlineStr">
        <is>
          <t>CT07, CT11, CT30</t>
        </is>
      </c>
    </row>
    <row r="20" ht="96" customHeight="1">
      <c r="A20" s="16" t="inlineStr">
        <is>
          <t>T07</t>
        </is>
      </c>
      <c r="B20" s="16" t="inlineStr">
        <is>
          <t>F011 não fornece emissão, competência nem histórico de liquidações e conciliação; uma data não pode substituir as demais.</t>
        </is>
      </c>
      <c r="C20" s="16" t="inlineStr">
        <is>
          <t>Consultas recebem corte efetivo T e versão de conhecimento K e preservam emissão, competência, vencimento, execução, movimento bancário e conciliação.</t>
        </is>
      </c>
      <c r="D20" s="16" t="inlineStr">
        <is>
          <t>Campos/políticas temporais existentes; fuso e fronteira do dia; vencimento original/vigente; posições histórica e reapresentada; proibir preenchimento presumido durante importação.</t>
        </is>
      </c>
      <c r="E20" s="16" t="inlineStr">
        <is>
          <t>Campos de origem, calendário/fuso aprovado, histórico de alterações, exemplos com competência e caixa em meses diferentes.</t>
        </is>
      </c>
      <c r="F20" s="16" t="inlineStr">
        <is>
          <t>Cada data afeta somente seu indicador; eventos conhecidos após K não alteram relatório original; datas desconhecidas ficam pendentes; vencer hoje difere de vencido.</t>
        </is>
      </c>
      <c r="G20" s="16" t="inlineStr">
        <is>
          <t>Testes de fronteira de data, original/reapresentado e relatório de campos não preenchidos por suposição.</t>
        </is>
      </c>
      <c r="H20" s="16" t="inlineStr">
        <is>
          <t>§3, I06, I07, D02, D06</t>
        </is>
      </c>
      <c r="I20" s="16" t="inlineStr">
        <is>
          <t>CT02, CT04, CT20</t>
        </is>
      </c>
    </row>
    <row r="21" ht="96" customHeight="1">
      <c r="A21" s="16" t="inlineStr">
        <is>
          <t>T08</t>
        </is>
      </c>
      <c r="B21" s="16" t="inlineStr">
        <is>
          <t>Reimportação, correção ou cancelamento pode perder a evidência necessária para reproduzir o saldo.</t>
        </is>
      </c>
      <c r="C21" s="16" t="inlineStr">
        <is>
          <t>Cada mudança material referencia origem, versão anterior, motivo, ator e data, sem exigir troca total de arquitetura.</t>
        </is>
      </c>
      <c r="D21" s="16" t="inlineStr">
        <is>
          <t>Reusar auditoria/eventos existentes; histórico de valor/status/data/obra; vínculo correção→original; transação atômica e chave idempotente para eventos de comando.</t>
        </is>
      </c>
      <c r="E21" s="16" t="inlineStr">
        <is>
          <t>Mecanismo de auditoria atual, IDs e payloads de importação, campos auditáveis e políticas de retenção de evidência.</t>
        </is>
      </c>
      <c r="F21" s="16" t="inlineStr">
        <is>
          <t>Repetir o mesmo comando não duplica evento; consultas anteriores continuam reproduzíveis; nenhuma baixa ou cancelamento elimina o original.</t>
        </is>
      </c>
      <c r="G21" s="16" t="inlineStr">
        <is>
          <t>Teste de repetição concorrente, trilha antes/depois e reconstrução de dois cortes; diff mínimo da auditoria.</t>
        </is>
      </c>
      <c r="H21" s="16" t="inlineStr">
        <is>
          <t>§4, §5, §10, §14</t>
        </is>
      </c>
      <c r="I21" s="16" t="inlineStr">
        <is>
          <t>CT02, CT08, CT20</t>
        </is>
      </c>
    </row>
    <row r="22" ht="96" customHeight="1">
      <c r="A22" s="16" t="inlineStr">
        <is>
          <t>T09</t>
        </is>
      </c>
      <c r="B22" s="16" t="inlineStr">
        <is>
          <t>As fontes têm períodos, extrações e coberturas diferentes; sem manifesto a comparação não é reproduzível.</t>
        </is>
      </c>
      <c r="C22" s="16" t="inlineStr">
        <is>
          <t>Cada carga mantém original, hash, origem, filtros, paginação, extração, corte, quantidades e base monetária declarada.</t>
        </is>
      </c>
      <c r="D22" s="16" t="inlineStr">
        <is>
          <t>Reusar conector Koper somente leitura e importadores válidos; camada de preparação com validado/pendente/rejeitado; nenhuma exceção é perdida ao importar. Lote, anexos, staging e quarentena têm organização proprietária mesmo quando a entidade legal está pendente.</t>
        </is>
      </c>
      <c r="E22" s="16" t="inlineStr">
        <is>
          <t>Arquivos F001–F027, requisições de integração disponíveis, metadados de extração e controles de totais.</t>
        </is>
      </c>
      <c r="F22" s="16" t="inlineStr">
        <is>
          <t>Repetir preparação permite rastrear cada registro à origem; arquivo parcial fica identificado como parcial; a origem oficial permanece sem mutação.</t>
        </is>
      </c>
      <c r="G22" s="16" t="inlineStr">
        <is>
          <t>Manifesto de carga, hash do original, amostra origem→registro e log sanitizado da integração somente leitura.</t>
        </is>
      </c>
      <c r="H22" s="16" t="inlineStr">
        <is>
          <t>§2, §4, D14</t>
        </is>
      </c>
      <c r="I22" s="16" t="inlineStr">
        <is>
          <t>CT01, CT21, CT26</t>
        </is>
      </c>
    </row>
    <row r="23" ht="96" customHeight="1">
      <c r="A23" s="16" t="inlineStr">
        <is>
          <t>T10</t>
        </is>
      </c>
      <c r="B23" s="16" t="inlineStr">
        <is>
          <t>F011–F016 representam a mesma carteira de 3261 títulos; somá-las ou reimportá-las cria duplicidade.</t>
        </is>
      </c>
      <c r="C23" s="16" t="inlineStr">
        <is>
          <t>Mesma identidade mantém um título e novas fotografias preservam versões e enriquecimentos.</t>
        </is>
      </c>
      <c r="D23" s="16" t="inlineStr">
        <is>
          <t>Upsert/transação segundo namespace real; repetição de lote e evento; colisões sem ID vão para revisão; nomes/valores iguais não fundem registros distintos. Se o conector/job existente já cumpre o aceite, preservar sua lógica e acrescentar somente a prova ausente. Se a falha for de agendamento, credencial ou patch específico, abrir uma correção separada e restrita após o diagnóstico, sem reescrever o importador.</t>
        </is>
      </c>
      <c r="E23" s="16" t="inlineStr">
        <is>
          <t>Chaves externas das fontes, lote fictício com repetição, snapshots alterados e casos de colisão de ID entre empresas.</t>
        </is>
      </c>
      <c r="F23" s="16" t="inlineStr">
        <is>
          <t>Segunda importação idêntica mantém quantidade e total; snapshot alterado muda somente objeto correspondente com histórico; falha no meio seguida de retry não duplica; duas parcelas iguais permanecem distintas.</t>
        </is>
      </c>
      <c r="G23" s="16" t="inlineStr">
        <is>
          <t>Testes serial/concorrente e após falha; contagens/totais antes/depois por organização; changelog de objetos.</t>
        </is>
      </c>
      <c r="H23" s="16" t="inlineStr">
        <is>
          <t>§4, §14</t>
        </is>
      </c>
      <c r="I23" s="16" t="inlineStr">
        <is>
          <t>CT01, CT02, CT23, CT24, CT26</t>
        </is>
      </c>
    </row>
    <row r="24" ht="96" customHeight="1">
      <c r="A24" s="16" t="inlineStr">
        <is>
          <t>T11</t>
        </is>
      </c>
      <c r="B24" s="16" t="inlineStr">
        <is>
          <t>Há diferenças conhecidas de totais e extrações parciais, mas não há base para inventar um ajuste de fechamento.</t>
        </is>
      </c>
      <c r="C24" s="16" t="inlineStr">
        <is>
          <t>Carga exibe linhas, IDs distintos, quantias brutas/líquidas e diferenças por definição e período, com status de completude verdadeiro.</t>
        </is>
      </c>
      <c r="D24" s="16" t="inlineStr">
        <is>
          <t>Checagem de paginação, universo esperado, exclusões/filtros e vínculo entre cabeçalho e linhas; ausência em snapshot posterior não cancela título; manter divergência rastreável.</t>
        </is>
      </c>
      <c r="E24" s="16" t="inlineStr">
        <is>
          <t>Controles de origem, cabeçalhos PDF, IDs esperados quando disponíveis, campos de desconto/encargos, versões F011–F016 e F024/F027.</t>
        </is>
      </c>
      <c r="F24" s="16" t="inlineStr">
        <is>
          <t>Falta de página ou universo desconhecido impede 100% de cobertura; desaparecimento de ID não gera cancelamento; diferença só é resolvida por composição documental, nunca ajuste automático. CT26 demonstra 5 IDs e R$ 15.000 em três páginas; falha na segunda página preserva subtotal R$ 3.000 e registra incompletude, sem certificar a carga.</t>
        </is>
      </c>
      <c r="G24" s="16" t="inlineStr">
        <is>
          <t>Relatório de reconciliação por lote e teste de página faltante, gross/net e ausência em snapshot; divergência residual explícita.</t>
        </is>
      </c>
      <c r="H24" s="16" t="inlineStr">
        <is>
          <t>§2, I22, §11</t>
        </is>
      </c>
      <c r="I24" s="16" t="inlineStr">
        <is>
          <t>CT01, CT21, CT26</t>
        </is>
      </c>
    </row>
    <row r="25" ht="96" customHeight="1">
      <c r="A25" s="16" t="inlineStr">
        <is>
          <t>T12</t>
        </is>
      </c>
      <c r="B25" s="16" t="inlineStr">
        <is>
          <t>O handoff registrou 26 extras e divergência de status no título 16032; não há prova de que a situação persista.</t>
        </is>
      </c>
      <c r="C25" s="16" t="inlineStr">
        <is>
          <t>Relatório atual por ID distingue fora de filtro, substituído, cancelado com prova, duplicidade comprovada, registro válido e caso sem conclusão.</t>
        </is>
      </c>
      <c r="D25" s="16" t="inlineStr">
        <is>
          <t>Conferência somente leitura de títulos extras e do histórico de baixas; recuperar a lista histórica e investigar cada ID. Classificar não significa excluir ou corrigir em massa.</t>
        </is>
      </c>
      <c r="E25" s="16" t="inlineStr">
        <is>
          <t>Snapshot atual paginado, lista histórica ou recuperação rastreável dos IDs, status/eventos da origem, documentos e filtros iguais.</t>
        </is>
      </c>
      <c r="F25" s="16" t="inlineStr">
        <is>
          <t>Cada ID tem estado de origem/destino, causa demonstrada ou pendência. A ponte quantidade/valor fecha; nenhum desaparecimento em lista cancela dívida. Título 16032 não ganha caixa confirmado só por status pago.</t>
        </is>
      </c>
      <c r="G25" s="16" t="inlineStr">
        <is>
          <t>Relatório por ID, consulta reproduzível, ponte por classes e evidências para decisão; ausência da lista histórica explicitada.</t>
        </is>
      </c>
      <c r="H25" s="16" t="inlineStr">
        <is>
          <t>S2 §4–9, §2, §8.1, D14</t>
        </is>
      </c>
      <c r="I25" s="16" t="inlineStr">
        <is>
          <t>CT01, CT03, CT08, CT21</t>
        </is>
      </c>
    </row>
    <row r="26" ht="96" customHeight="1">
      <c r="A26" s="16" t="inlineStr">
        <is>
          <t>T13</t>
        </is>
      </c>
      <c r="B26" s="16" t="inlineStr">
        <is>
          <t>O handoff relata fornecedor incorreto em registros históricos e patch sem efeito comprovado.</t>
        </is>
      </c>
      <c r="C26" s="16" t="inlineStr">
        <is>
          <t>Cadastro e títulos apontam para a contraparte comprovada, sem alterar dívida, datas ou pagamentos.</t>
        </is>
      </c>
      <c r="D26" s="16" t="inlineStr">
        <is>
          <t>Reusar o mapeamento e o patch existentes se válidos. Corrigir uma classe de divergência por ID em homologação; equivalência por nome não basta; preservar antes/depois e forma de reversão.</t>
        </is>
      </c>
      <c r="E26" s="16" t="inlineStr">
        <is>
          <t>IDs de fornecedor da origem e destino, cadastro mestre, documentos, execução anterior do patch e mapeamento revisado.</t>
        </is>
      </c>
      <c r="F26" s="16" t="inlineStr">
        <is>
          <t>A amostra altera somente IDs de contraparte aprovados. Quantidades, principal, saldo, caixa e rateios permanecem iguais; repetição do patch não altera o resultado. Se já corrigido, encerrar por prova equivalente.</t>
        </is>
      </c>
      <c r="G26" s="16" t="inlineStr">
        <is>
          <t>Diff por título e fornecedor, comando/commit, consulta antes/depois com somas iguais e revisão do mapeamento. CT01 e CT02 apoiam identidade e repetição; não substituem a comparação específica de fornecedor antes/depois.</t>
        </is>
      </c>
      <c r="H26" s="16" t="inlineStr">
        <is>
          <t>S2 §5–9, §4, §14</t>
        </is>
      </c>
      <c r="I26" s="16" t="inlineStr">
        <is>
          <t>CT01, CT02</t>
        </is>
      </c>
    </row>
    <row r="27" ht="96" customHeight="1">
      <c r="A27" s="16" t="inlineStr">
        <is>
          <t>T14</t>
        </is>
      </c>
      <c r="B27" s="16" t="inlineStr">
        <is>
          <t>Cron configurado e arquivo de workflow não comprovam execução; houve registro de No jobs were run.</t>
        </is>
      </c>
      <c r="C27" s="16" t="inlineStr">
        <is>
          <t>Cada rotina necessária tem execução identificável, escopo autorizado, estatísticas de efeito e indicação de falha/atualização.</t>
        </is>
      </c>
      <c r="D27" s="16" t="inlineStr">
        <is>
          <t>Verificar configuração, execução e efeito separadamente. Corrigir apenas gatilho, condição, permissão ou checkpoint que falhar. Exercitar retry, falha de página e concorrência na massa fictícia; validar horário configurado sem inventar novo SLA.</t>
        </is>
      </c>
      <c r="E27" s="16" t="inlineStr">
        <is>
          <t>Workflows e worker atuais, logs sanitizados, fuso, último run completo, estatísticas esperadas e política de atualização D12.</t>
        </is>
      </c>
      <c r="F27" s="16" t="inlineStr">
        <is>
          <t>Run identificado executa jobs reais e reconcilia contagens/valores. Retry não duplica. Falha parcial não atualiza última carga completa. As 04 h históricas são verificadas, não presumidas como configuração atual.</t>
        </is>
      </c>
      <c r="G27" s="16" t="inlineStr">
        <is>
          <t>Run ID e commit, log por etapa, comparação de dados e alerta de falha. Segredo nunca aparece no relatório.</t>
        </is>
      </c>
      <c r="H27" s="16" t="inlineStr">
        <is>
          <t>S2 §3,5,7, §2, §11, D12</t>
        </is>
      </c>
      <c r="I27" s="16" t="inlineStr">
        <is>
          <t>CT01, CT24, CT26</t>
        </is>
      </c>
    </row>
    <row r="28" ht="96" customHeight="1">
      <c r="A28" s="16" t="inlineStr">
        <is>
          <t>T15</t>
        </is>
      </c>
      <c r="B28" s="16" t="inlineStr">
        <is>
          <t>O padrão histórico Flow e o texto PREVIS podem transformar lacunas em apropriação ou dívida equivocadas.</t>
        </is>
      </c>
      <c r="C28" s="16" t="inlineStr">
        <is>
          <t>Títulos sem obra ficam no total da entidade em pendência; PREVIS e duplicidade potencial recebem classificação documental.</t>
        </is>
      </c>
      <c r="D28" s="16" t="inlineStr">
        <is>
          <t>Remover fallback para novos dados se D01 assim registrar; marcar legado provisório, sem reclassificar em massa; separar sem entidade, sem obra, sem EAP, sem natureza e rateio incompleto.</t>
        </is>
      </c>
      <c r="E28" s="16" t="inlineStr">
        <is>
          <t>Evidências da cadeia pedido/contrato/NF/medição/OS, classificação de origem e registros legados de fallback.</t>
        </is>
      </c>
      <c r="F28" s="16" t="inlineStr">
        <is>
          <t>CT12: custo da entidade R$ 10.000 = obra identificada R$ 6.000 + pendente R$ 4.000. Após pagar R$ 2.000 do título sem obra, aberto da entidade R$ 8.000 e aberto sem obra R$ 2.000. Alocação automática ao Flow é zero; classificação PREVIS depende de evidência.</t>
        </is>
      </c>
      <c r="G28" s="16" t="inlineStr">
        <is>
          <t>Teste de entidade/obra e saída por dimensão; fila de exceções com IDs e evidências; amostra de legado marcada.</t>
        </is>
      </c>
      <c r="H28" s="16" t="inlineStr">
        <is>
          <t>§2, §9, §11, D01</t>
        </is>
      </c>
      <c r="I28" s="16" t="inlineStr">
        <is>
          <t>CT12, CT21</t>
        </is>
      </c>
    </row>
    <row r="29" ht="96" customHeight="1">
      <c r="A29" s="16" t="inlineStr">
        <is>
          <t>T16</t>
        </is>
      </c>
      <c r="B29" s="16" t="inlineStr">
        <is>
          <t>Um título pode cobrir vários itens e um pagamento vários títulos; relações apenas textuais não permitem provar exclusividade.</t>
        </is>
      </c>
      <c r="C29" s="16" t="inlineStr">
        <is>
          <t>Relações N:M ou equivalente existente guardam valor, componente, escopo e versão e verificam conservação.</t>
        </is>
      </c>
      <c r="D29" s="16" t="inlineStr">
        <is>
          <t>Documento→parcelas, contrato/item→obrigação, liquidação→títulos, liquidação→banco e correção→original; evitar somar pais e filhos.</t>
        </is>
      </c>
      <c r="E29" s="16" t="inlineStr">
        <is>
          <t>Modelo existente, IDs estáveis, valores/quantidades vinculados e relações documentais.</t>
        </is>
      </c>
      <c r="F29" s="16" t="inlineStr">
        <is>
          <t>Nenhum vínculo excede saldo ou duplica componente sem exceção; soma de filhos reconcilia com pai; tentativa cross-empresa é rejeitada atomicamente.</t>
        </is>
      </c>
      <c r="G29" s="16" t="inlineStr">
        <is>
          <t>Testes de conservação, sobrealocação e vínculo entre empresas; consulta de integridade e exemplos rastreáveis.</t>
        </is>
      </c>
      <c r="H29" s="16" t="inlineStr">
        <is>
          <t>§4, §5, §7</t>
        </is>
      </c>
      <c r="I29" s="16" t="inlineStr">
        <is>
          <t>CT06, CT09, CT23, CT24</t>
        </is>
      </c>
    </row>
    <row r="30" ht="96" customHeight="1">
      <c r="A30" s="16" t="inlineStr">
        <is>
          <t>T17</t>
        </is>
      </c>
      <c r="B30" s="16" t="inlineStr">
        <is>
          <t>242 títulos contêm EAP/serviços concatenados sem valor; listar centros não prova rateio.</t>
        </is>
      </c>
      <c r="C30" s="16" t="inlineStr">
        <is>
          <t>Valor apropriável = alocações válidas + parcela pendente, com centavos e versões preservados.</t>
        </is>
      </c>
      <c r="D30" s="16" t="inlineStr">
        <is>
          <t>Reusar motor de rateio existente; distinguir econômico e caixa; direcionador explícito, resíduo determinístico e revisão rastreável; custos comuns e administração em campos próprios.</t>
        </is>
      </c>
      <c r="E30" s="16" t="inlineStr">
        <is>
          <t>D05, obras/EAP, valores monetários por destino e critérios de rateio, prioridades estáveis para centavos.</t>
        </is>
      </c>
      <c r="F30" s="16" t="inlineStr">
        <is>
          <t>CT11: custo R$ 10.000 em 60/40 gera R$ 6.000/R$ 4.000; parcial R$ 3.000 gera R$ 1.800/R$ 1.200 no caixa sob regra proporcional. R$ 100,01 entre A/B/C com pesos iguais gera R$ 33,34/R$ 33,34/R$ 33,33, conservando centavos e custo.</t>
        </is>
      </c>
      <c r="G30" s="16" t="inlineStr">
        <is>
          <t>Testes de conservação e resíduo; telas/API de pendência; trilha de alteração de percentuais.</t>
        </is>
      </c>
      <c r="H30" s="16" t="inlineStr">
        <is>
          <t>§9, §12.5, D05</t>
        </is>
      </c>
      <c r="I30" s="16" t="inlineStr">
        <is>
          <t>CT11, CT12</t>
        </is>
      </c>
    </row>
    <row r="31" ht="96" customHeight="1">
      <c r="A31" s="16" t="inlineStr">
        <is>
          <t>T18</t>
        </is>
      </c>
      <c r="B31" s="16" t="inlineStr">
        <is>
          <t>Uma data/valor de pagamento em F011 não representa uma sequência de parciais e a ordem de imputação não pode ser presumida.</t>
        </is>
      </c>
      <c r="C31" s="16" t="inlineStr">
        <is>
          <t>Saldo é calculado por constituição, redução, liquidação e reversão em cada componente.</t>
        </is>
      </c>
      <c r="D31" s="16" t="inlineStr">
        <is>
          <t>Pagamentos parciais N:M, juros/desconto explícitos, estados agendado/executado/falhou; importar baixa declarada como evidência distinta de dinheiro confirmado; impedir novo pagamento durante apuração de baixa pendente.</t>
        </is>
      </c>
      <c r="E31" s="16" t="inlineStr">
        <is>
          <t>D06/D07, título e componentes, eventos individuais, comprovação de liquidação e lote fictício parcial.</t>
        </is>
      </c>
      <c r="F31" s="16" t="inlineStr">
        <is>
          <t>R$ 100.000 + R$ 2.000 − R$ 5.000 − R$ 40.000 − R$ 57.000 = R$ 0, com desembolso de R$ 97.000; agendamento não reduz caixa; saldo informado sem extrato não recebe confirmação nem é automaticamente reaberto.</t>
        </is>
      </c>
      <c r="G31" s="16" t="inlineStr">
        <is>
          <t>Relatório por componente, teste do exemplo 12.3 e teste da baixa não conciliada com proteção contra pagamento duplicado.</t>
        </is>
      </c>
      <c r="H31" s="16" t="inlineStr">
        <is>
          <t>§5, §8.1, §12.3, D06, D07</t>
        </is>
      </c>
      <c r="I31" s="16" t="inlineStr">
        <is>
          <t>CT03, CT07, CT23, CT30</t>
        </is>
      </c>
    </row>
    <row r="32" ht="96" customHeight="1">
      <c r="A32" s="16" t="inlineStr">
        <is>
          <t>T19</t>
        </is>
      </c>
      <c r="B32" s="16" t="inlineStr">
        <is>
          <t>Uma importação de banco pode repetir pagamento já conhecido ou confundir conciliação com novo movimento.</t>
        </is>
      </c>
      <c r="C32" s="16" t="inlineStr">
        <is>
          <t>Movimento bancário único liga-se às liquidações existentes, preservando diferenças e trânsito.</t>
        </is>
      </c>
      <c r="D32" s="16" t="inlineStr">
        <is>
          <t>Identidade de transação, arquivo repetido, agrupamentos e liquidação líquida; saldo inicial/extrato contínuo; tarifa e tolerância como ajuste identificado, nunca descarte silencioso.</t>
        </is>
      </c>
      <c r="E32" s="16" t="inlineStr">
        <is>
          <t>Extratos fictícios completos, titularidade/conta, IDs de transação, comprovantes e políticas D06/D12.</t>
        </is>
      </c>
      <c r="F32" s="16" t="inlineStr">
        <is>
          <t>Conciliar ou reimportar não altera número nem valor dos pagamentos; um pagamento para dois títulos fecha com a linha do banco; sem saldo inicial não há certificação do saldo reconstruído.</t>
        </is>
      </c>
      <c r="G32" s="16" t="inlineStr">
        <is>
          <t>Testes de banco repetido, agrupamento, net/gross e período faltante; ponte saldo inicial+movimentos=extrato.</t>
        </is>
      </c>
      <c r="H32" s="16" t="inlineStr">
        <is>
          <t>§3, §8.1, I02, I17, I20, I22</t>
        </is>
      </c>
      <c r="I32" s="16" t="inlineStr">
        <is>
          <t>CT03, CT14, CT15, CT23</t>
        </is>
      </c>
    </row>
    <row r="33" ht="96" customHeight="1">
      <c r="A33" s="16" t="inlineStr">
        <is>
          <t>T20</t>
        </is>
      </c>
      <c r="B33" s="16" t="inlineStr">
        <is>
          <t>Pagar antecipado e aplicar depois pode duplicar caixa ou reduzir a previsão duas vezes.</t>
        </is>
      </c>
      <c r="C33" s="16" t="inlineStr">
        <is>
          <t>Adiantamento é crédito comprovado disponível; sua aplicação baixa crédito/obrigação sem novo desembolso.</t>
        </is>
      </c>
      <c r="D33" s="16" t="inlineStr">
        <is>
          <t>Fornecedor e cliente em direções separadas; aplicações N:M com contrato/contraparte/entidade; saldo disponível, restituição e excedente; não compensar crédito genérico.</t>
        </is>
      </c>
      <c r="E33" s="16" t="inlineStr">
        <is>
          <t>Contrato, documento de adiantamento, movimento efetivado, aplicações autorizadas e saldos iniciais comprovados.</t>
        </is>
      </c>
      <c r="F33" s="16" t="inlineStr">
        <is>
          <t>Pagar R$ 20 mil registra saída de caixa e crédito de adiantamento de R$ 20 mil; aplicar à medição de R$ 40 mil deixa obrigação de R$ 20 mil e crédito zero, sem novo caixa; aplicação duplicada ou além do saldo é rejeitada.</t>
        </is>
      </c>
      <c r="G33" s="16" t="inlineStr">
        <is>
          <t>Testes dos estados do exemplo 12.1, conservação do crédito e tentativa duplicada/cross-contraparte.</t>
        </is>
      </c>
      <c r="H33" s="16" t="inlineStr">
        <is>
          <t>§7, §8.2, I09, §12.1</t>
        </is>
      </c>
      <c r="I33" s="16" t="inlineStr">
        <is>
          <t>CT05, CT22, CT28</t>
        </is>
      </c>
    </row>
    <row r="34" ht="96" customHeight="1">
      <c r="A34" s="16" t="inlineStr">
        <is>
          <t>T21</t>
        </is>
      </c>
      <c r="B34" s="16" t="inlineStr">
        <is>
          <t>Cabeçalho bruto, título de fornecedor e retenções somados simultaneamente duplicam dívida.</t>
        </is>
      </c>
      <c r="C34" s="16" t="inlineStr">
        <is>
          <t>Componentes pagáveis exclusivos mantêm credor, vencimento/condição e valor aberto próprio.</t>
        </is>
      </c>
      <c r="D34" s="16" t="inlineStr">
        <is>
          <t>Retenção contratual, tributo retido, tributo próprio e recuperável distintos; título pai não soma aos filhos; liberação de retenção muda condição, não constitui dívida outra vez.</t>
        </is>
      </c>
      <c r="E34" s="16" t="inlineStr">
        <is>
          <t>D08 e documentação do contador, contrato/medição, credores e eventos de liberação/recolhimento.</t>
        </is>
      </c>
      <c r="F34" s="16" t="inlineStr">
        <is>
          <t>Documento 300000 se divide 240000 fornecedor+30000 tributo+30000 retenção; R soma 300000 uma vez; liberação sem pagamento mantém R; recolhimento reduz componente correto.</t>
        </is>
      </c>
      <c r="G34" s="16" t="inlineStr">
        <is>
          <t>Testes do desdobramento, liberação e recolhimento; relatório fornecedor/tributo/retenção reconciliado ao bruto.</t>
        </is>
      </c>
      <c r="H34" s="16" t="inlineStr">
        <is>
          <t>§8.2, I05, I08, §12.2, D08</t>
        </is>
      </c>
      <c r="I34" s="16" t="inlineStr">
        <is>
          <t>CT06, CT28</t>
        </is>
      </c>
    </row>
    <row r="35" ht="96" customHeight="1">
      <c r="A35" s="16" t="inlineStr">
        <is>
          <t>T22</t>
        </is>
      </c>
      <c r="B35" s="16" t="inlineStr">
        <is>
          <t>Nota, medição e consumo podem representar o mesmo fato; pagamento não determina competência.</t>
        </is>
      </c>
      <c r="C35" s="16" t="inlineStr">
        <is>
          <t>Evento econômico único sustenta I01 e obrigação reconhecida sem título sustenta I04 até substituição.</t>
        </is>
      </c>
      <c r="D35" s="16" t="inlineStr">
        <is>
          <t>Regras D03 por serviço/material/estoque; medição aceita, documento posterior, consumo e devolução; reconhecer somente fatos validamente comprovados e exibir execução pendente.</t>
        </is>
      </c>
      <c r="E35" s="16" t="inlineStr">
        <is>
          <t>Aceites/medições, movimentos de estoque, natureza, competência, obra/EAP e política de reconhecimento.</t>
        </is>
      </c>
      <c r="F35" s="16" t="inlineStr">
        <is>
          <t>CT09: medição de R$ 8.000, nota e nota substituta mantêm custo e obrigação únicos de R$ 8.000. CT27: compra paga de R$ 20.000 sem consumo deixa custo zero, ETC R$ 20.000 e Q zero; consumo de R$ 8.000 deixa custo R$ 8.000, estoque/ETC R$ 12.000 e EAC R$ 20.000.</t>
        </is>
      </c>
      <c r="G35" s="16" t="inlineStr">
        <is>
          <t>Testes medição→nota, compra→consumo e pagamentos em competência diferente; vínculo único de fato econômico.</t>
        </is>
      </c>
      <c r="H35" s="16" t="inlineStr">
        <is>
          <t>§5, §7.2, I01, I04, D03</t>
        </is>
      </c>
      <c r="I35" s="16" t="inlineStr">
        <is>
          <t>CT09, CT27</t>
        </is>
      </c>
    </row>
    <row r="36" ht="96" customHeight="1">
      <c r="A36" s="16" t="inlineStr">
        <is>
          <t>T23</t>
        </is>
      </c>
      <c r="B36" s="16" t="inlineStr">
        <is>
          <t>Reverter lançamento não prova retorno do dinheiro; encargos já devidos não desaparecem por estorno do pagamento.</t>
        </is>
      </c>
      <c r="C36" s="16" t="inlineStr">
        <is>
          <t>Reversão vinculada reabre os componentes corretos, e devolução bancária altera caixa quando realmente ocorrer.</t>
        </is>
      </c>
      <c r="D36" s="16" t="inlineStr">
        <is>
          <t>Estorno parcial/total idempotente; validade de descontos; reversão de aplicação de adiantamento conforme causa; manter obrigação de juros salvo extinção documentada. O núcleo genérico não espera todos os módulos AP/AR; reversões específicas de adiantamento e retenção são verificadas na integração desses módulos.</t>
        </is>
      </c>
      <c r="E36" s="16" t="inlineStr">
        <is>
          <t>Evento original, motivo, documentos de validade de desconto e movimento de devolução quando houver.</t>
        </is>
      </c>
      <c r="F36" s="16" t="inlineStr">
        <is>
          <t>Devolver 57 mil reabre 57 mil com desconto mantido,62 mil se desconto 5 mil perde validade; caixa só sobe 57 mil com movimento real; repetir reversão não duplica.</t>
        </is>
      </c>
      <c r="G36" s="16" t="inlineStr">
        <is>
          <t>Testes de dois ramos do desconto, separação estorno/devolução e retry; trilha de vínculo com evento original.</t>
        </is>
      </c>
      <c r="H36" s="16" t="inlineStr">
        <is>
          <t>§8.3, §12.3, D06, D07</t>
        </is>
      </c>
      <c r="I36" s="16" t="inlineStr">
        <is>
          <t>CT08, CT10</t>
        </is>
      </c>
    </row>
    <row r="37" ht="96" customHeight="1">
      <c r="A37" s="16" t="inlineStr">
        <is>
          <t>T24</t>
        </is>
      </c>
      <c r="B37" s="16" t="inlineStr">
        <is>
          <t>Excluir nota ou título pode apagar dívida e custo que continuam existindo; cancelar algo pago não devolve caixa.</t>
        </is>
      </c>
      <c r="C37" s="16" t="inlineStr">
        <is>
          <t>Cancelamento exige motivo e consequência econômica/financeira explícita, mantendo original e cortes anteriores.</t>
        </is>
      </c>
      <c r="D37" s="16" t="inlineStr">
        <is>
          <t>Substituição documental, desfazimento, devolução e erro em comandos separados; crédito/restituição de item pago; renegociação preserva original e aplica substituição na data válida.</t>
        </is>
      </c>
      <c r="E37" s="16" t="inlineStr">
        <is>
          <t>Documento substituto ou cancelamento válido, saldo/execução/pagamentos, motivo e alçada pertinente.</t>
        </is>
      </c>
      <c r="F37" s="16" t="inlineStr">
        <is>
          <t>CT09: cancelamento documental da nota de R$ 8.000 mantém o serviço e a obrigação, com uma representação ativa. CT10: rescindir escopo de R$ 10.000 já adiantados e não executado gera crédito de R$ 10.000, Q zero e nenhuma entrada fictícia; restituição real de R$ 6.000 deixa crédito de R$ 4.000.</t>
        </is>
      </c>
      <c r="G37" s="16" t="inlineStr">
        <is>
          <t>Testes de três motivos, histórico de corte anterior, inexistência de apagamento e crédito separado do caixa.</t>
        </is>
      </c>
      <c r="H37" s="16" t="inlineStr">
        <is>
          <t>§7.2, §8.3, §14</t>
        </is>
      </c>
      <c r="I37" s="16" t="inlineStr">
        <is>
          <t>CT09, CT10</t>
        </is>
      </c>
    </row>
    <row r="38" ht="96" customHeight="1">
      <c r="A38" s="16" t="inlineStr">
        <is>
          <t>T25</t>
        </is>
      </c>
      <c r="B38" s="16" t="inlineStr">
        <is>
          <t>Não há carteira operacional completa de contratos; pedido, contrato e limite guarda-chuva não equivalem a gastos adicionais.</t>
        </is>
      </c>
      <c r="C38" s="16" t="inlineStr">
        <is>
          <t>Compromisso firme V vigente tem itens, escopo, preço, condição e alterações aprovadas.</t>
        </is>
      </c>
      <c r="D38" s="16" t="inlineStr">
        <is>
          <t>Reusar contratos/pedidos existentes; aditivo aprovado e proposto distintos; redução de escopo; pedido e contrato da mesma compra compartilham cobertura; calendário contratual versionado.</t>
        </is>
      </c>
      <c r="E38" s="16" t="inlineStr">
        <is>
          <t>Contratos/pedidos assinados, itens/EAP, aditivos, reduções/distratos e preços/base monetária.</t>
        </is>
      </c>
      <c r="F38" s="16" t="inlineStr">
        <is>
          <t>Aditivo firme 50 mil aumenta V50 mil na vigência e não aumenta custo nem caixa pela assinatura; proposto não altera V; contrato/pedido do mesmo objeto não somam duas vezes.</t>
        </is>
      </c>
      <c r="G38" s="16" t="inlineStr">
        <is>
          <t>Testes de proposta/aprovação/vigência, contrato+pedido e redução; documentos vinculados e trilha de versões.</t>
        </is>
      </c>
      <c r="H38" s="16" t="inlineStr">
        <is>
          <t>§7.2, §8.4, I10, D04</t>
        </is>
      </c>
      <c r="I38" s="16" t="inlineStr">
        <is>
          <t>CT18, CT19</t>
        </is>
      </c>
    </row>
    <row r="39" ht="96" customHeight="1">
      <c r="A39" s="16" t="inlineStr">
        <is>
          <t>T26</t>
        </is>
      </c>
      <c r="B39" s="16" t="inlineStr">
        <is>
          <t>Somar contrato integral com títulos e adiantamentos distorce o quanto falta pagar.</t>
        </is>
      </c>
      <c r="C39" s="16" t="inlineStr">
        <is>
          <t>Mapa de cobertura calcula C=V−H−N−Rv por preço/escopo, sem sobreposição e sem abatimento global de adiantamento.</t>
        </is>
      </c>
      <c r="D39" s="16" t="inlineStr">
        <is>
          <t>Alocar principal pago, extinção sem caixa ainda não embutida em V e saldo de obrigação; manter juros fora do principal; aplicar adiantamento não aumenta H/N; negativo vira exceção/crédito.</t>
        </is>
      </c>
      <c r="E39" s="16" t="inlineStr">
        <is>
          <t>V vigente, liquidações e adiantamentos vinculados, descontos e reduções, Rv por item e lista de escopos.</t>
        </is>
      </c>
      <c r="F39" s="16" t="inlineStr">
        <is>
          <t>Quatro estados de 12.1 fecham; constituir título transfere C→R sem alterar Q; aplicar adiantamento não reduz total de novo; nenhum item sem vínculo recebe selo completo.</t>
        </is>
      </c>
      <c r="G39" s="16" t="inlineStr">
        <is>
          <t>Testes de conservação do preço e relatório V/H/N/Rv/C por item com IDs de origem.</t>
        </is>
      </c>
      <c r="H39" s="16" t="inlineStr">
        <is>
          <t>§7.1, I10, §12.1, §12.2</t>
        </is>
      </c>
      <c r="I39" s="16" t="inlineStr">
        <is>
          <t>CT05, CT06, CT18, CT28</t>
        </is>
      </c>
    </row>
    <row r="40" ht="96" customHeight="1">
      <c r="A40" s="16" t="inlineStr">
        <is>
          <t>T27</t>
        </is>
      </c>
      <c r="B40" s="16" t="inlineStr">
        <is>
          <t>Rev 03 tem fórmulas quebradas e vigência/base de preços não comprovadas; não pode alimentar percentual confiável.</t>
        </is>
      </c>
      <c r="C40" s="16" t="inlineStr">
        <is>
          <t>Orçamento original B0 e vigente Bv só recebem estado validado com fontes, escopo, EAP e total verificados.</t>
        </is>
      </c>
      <c r="D40" s="16" t="inlineStr">
        <is>
          <t>Reusar importador de orçamento; registrar erros #REF!/#VALUE!, duplicatas exatas e versões; aprovação não apaga original; não corrigir preços nem vigência por suposição.</t>
        </is>
      </c>
      <c r="E40" s="16" t="inlineStr">
        <is>
          <t>Arquivo Rev 03 preservado, fórmulas/valores, base de preço, EAP e confirmação do orçamento aplicável.</t>
        </is>
      </c>
      <c r="F40" s="16" t="inlineStr">
        <is>
          <t>Erro de fórmula permanece visível e bloqueia desvio definitivo; Bv desconhecido ou zero não gera percentual; revisão conserva B0 e ponte entre versões.</t>
        </is>
      </c>
      <c r="G40" s="16" t="inlineStr">
        <is>
          <t>Relatório de validação de planilha e total, hash/versão aprovada, teste de zero/ausente/erro.</t>
        </is>
      </c>
      <c r="H40" s="16" t="inlineStr">
        <is>
          <t>I15, §11, D10</t>
        </is>
      </c>
      <c r="I40" s="16" t="inlineStr">
        <is>
          <t>CT19, CT21</t>
        </is>
      </c>
    </row>
    <row r="41" ht="96" customHeight="1">
      <c r="A41" s="16" t="inlineStr">
        <is>
          <t>T28</t>
        </is>
      </c>
      <c r="B41" s="16" t="inlineStr">
        <is>
          <t>Orçamento menos pago não representa recursos necessários e pode esconder sobrecusto ou estoque já comprado.</t>
        </is>
      </c>
      <c r="C41" s="16" t="inlineStr">
        <is>
          <t>Previsão registra quantidades/preços remanescentes e distingue ETC econômico de P financeiro sem cobertura.</t>
        </is>
      </c>
      <c r="D41" s="16" t="inlineStr">
        <is>
          <t>Reusar EAP/cronograma; incluir estoque a consumir, compromissos existentes e escopo descoberto; substituir P quando novo contrato cobre o mesmo escopo; versão/premissas/aprovador.</t>
        </is>
      </c>
      <c r="E41" s="16" t="inlineStr">
        <is>
          <t>Quantidades remanescentes, medições, estoque, contratos e reestimativa aprovada até conclusão.</t>
        </is>
      </c>
      <c r="F41" s="16" t="inlineStr">
        <is>
          <t>Exemplo 12.6 retorna incorrido 450 mil, ETC800 mil, EAC1,25 mi e desvio 250 mil; contratação de escopo em P transfere cobertura sem duplicar; ausência de horizonte não vira 0. Orçamento não validado não impede EAC sustentado por reestimativa válida, mas impede desvio definitivo em relação a Bv.</t>
        </is>
      </c>
      <c r="G41" s="16" t="inlineStr">
        <is>
          <t>Planilha/fixture de previsão e relatório de cobertura econômico/financeiro; teste de sobrecusto e estoque.</t>
        </is>
      </c>
      <c r="H41" s="16" t="inlineStr">
        <is>
          <t>I11, I13, I14, I15, §7, §12.6, D10</t>
        </is>
      </c>
      <c r="I41" s="16" t="inlineStr">
        <is>
          <t>CT18, CT19, CT25, CT27, CT28</t>
        </is>
      </c>
    </row>
    <row r="42" ht="96" customHeight="1">
      <c r="A42" s="16" t="inlineStr">
        <is>
          <t>T29</t>
        </is>
      </c>
      <c r="B42" s="16" t="inlineStr">
        <is>
          <t>Mudar cronograma pode deslocar fatos pagos/incorridos ou esconder atrasos e tornar comparação histórica irreproduzível.</t>
        </is>
      </c>
      <c r="C42" s="16" t="inlineStr">
        <is>
          <t>Reprogramação altera datas futuras documentadas, mantendo realizados e baseline, com diferença explícita.</t>
        </is>
      </c>
      <c r="D42" s="16" t="inlineStr">
        <is>
          <t>Cronograma físico, previsão de caixa e renegociação legal são objetos distintos; atraso previsto de recebimento preserva vencimento contratual para inadimplência; incluir resto do mês de corte.</t>
        </is>
      </c>
      <c r="E42" s="16" t="inlineStr">
        <is>
          <t>Versões do cronograma, baseline, eventos executados, agendas contratuais, autorização de reprogramação e T/K.</t>
        </is>
      </c>
      <c r="F42" s="16" t="inlineStr">
        <is>
          <t>CT17: reprogramação mantém Q e EAC em R$ 120.000 e custo incorrido em R$ 20.000. Saldo final continua R$ 40.000, mas o menor saldo passa de R$ 40.000 para menos R$ 10.000, exigindo R$ 30.000 frente ao mínimo de R$ 20.000. Vencimento contratual só muda com renegociação separada.</t>
        </is>
      </c>
      <c r="G42" s="16" t="inlineStr">
        <is>
          <t>Teste antes/depois por mês e por total, versão anterior consultável e diff de datas alteradas.</t>
        </is>
      </c>
      <c r="H42" s="16" t="inlineStr">
        <is>
          <t>§3, I07, I11, I19, I21, D10</t>
        </is>
      </c>
      <c r="I42" s="16" t="inlineStr">
        <is>
          <t>CT17</t>
        </is>
      </c>
    </row>
    <row r="43" ht="96" customHeight="1">
      <c r="A43" s="16" t="inlineStr">
        <is>
          <t>T30</t>
        </is>
      </c>
      <c r="B43" s="16" t="inlineStr">
        <is>
          <t>Número único sem composição pode repetir títulos, retenções, contratos, previsão e juros futuros.</t>
        </is>
      </c>
      <c r="C43" s="16" t="inlineStr">
        <is>
          <t>Função de cálculo compartilhada retorna R,C,P,Q,AF e detalhamento rastreável por filtro/T/K.</t>
        </is>
      </c>
      <c r="D43" s="16" t="inlineStr">
        <is>
          <t>Compor e expor os cálculos já validados nas dependências, sem reimplementar seus motores. I03–I08 e I10–I15; janelas 30/90 cumulativas; vencidos/hoje/sem data; Q=R+C+P; cenário=Q+AF, com AF exclusivo removido ao constituir. Escopo D04 explícito.</t>
        </is>
      </c>
      <c r="E43" s="16" t="inlineStr">
        <is>
          <t>Objetos financeiros/econômicos, cobertura completa, calendário, política de encargos e contrato de saída dos indicadores.</t>
        </is>
      </c>
      <c r="F43" s="16" t="inlineStr">
        <is>
          <t>Exemplo 12.2 retorna R140 mil,C840 mil,P200 mil,Q1,18 mi,ETC1,1 mi,EAC1,4 mi; retenção 30 mil é subset; não soma 30+90; vínculo faltante produz subtotal sem Q certificado.</t>
        </is>
      </c>
      <c r="G43" s="16" t="inlineStr">
        <is>
          <t>Relatório de composição com IDs e bases; testes dos exemplos e de AF migrando para obrigação sem soma dupla.</t>
        </is>
      </c>
      <c r="H43" s="16" t="inlineStr">
        <is>
          <t>I03–I15, §7, §12.2, D04, D07</t>
        </is>
      </c>
      <c r="I43" s="16" t="inlineStr">
        <is>
          <t>CT04, CT18, CT21, CT28</t>
        </is>
      </c>
    </row>
    <row r="44" ht="96" customHeight="1">
      <c r="A44" s="16" t="inlineStr">
        <is>
          <t>T31</t>
        </is>
      </c>
      <c r="B44" s="16" t="inlineStr">
        <is>
          <t>O relatório parcial de 176 recebíveis pode sobrepor os 3.682 registros do completo; contrato, unidade e parcela precisam de identidade própria.</t>
        </is>
      </c>
      <c r="C44" s="16" t="inlineStr">
        <is>
          <t>Um direito financeiro canônico por contrato, unidade e parcela, com componentes e histórico, sem reconhecimento automático de receita.</t>
        </is>
      </c>
      <c r="D44" s="16" t="inlineStr">
        <is>
          <t>Reusar cadastro e importador de recebíveis; guardar contrato de venda e sua agenda, devedor, unidade, parcela, principal, encargos e vencimentos; conservar cancelados e substituídos. Liquidação líquida e não monetária ficam em cartões próprios.</t>
        </is>
      </c>
      <c r="E44" s="16" t="inlineStr">
        <is>
          <t>Exportação de recebíveis com IDs estáveis, contrato de venda, unidade, parcelas, moeda, organização/entidade e política D09.</t>
        </is>
      </c>
      <c r="F44" s="16" t="inlineStr">
        <is>
          <t>Importação completa e subconjunto com a mesma chave mantêm um recebível por parcela, sem duplicar saldo. Na entrada de CT13, os principais de R$ 10.000 + R$ 10.000 + R$ 80.000 totalizam R$ 100.000 antes das baixas e dos juros. Receita não é criada pela importação.</t>
        </is>
      </c>
      <c r="G44" s="16" t="inlineStr">
        <is>
          <t>Manifestos completa/subconjunto, IDs e contagem antes/depois, teste de isolamento e vínculo contrato/unidade/parcela.</t>
        </is>
      </c>
      <c r="H44" s="16" t="inlineStr">
        <is>
          <t>§8.5, I16, I17, §12.4, D09</t>
        </is>
      </c>
      <c r="I44" s="16" t="inlineStr">
        <is>
          <t>CT01, CT13, CT24</t>
        </is>
      </c>
    </row>
    <row r="45" ht="96" customHeight="1">
      <c r="A45" s="16" t="inlineStr">
        <is>
          <t>T32</t>
        </is>
      </c>
      <c r="B45" s="16" t="inlineStr">
        <is>
          <t>Recebimento bancário líquido pode deixar atraso artificial ou criar duas entradas quando baixas e extratos são importados.</t>
        </is>
      </c>
      <c r="C45" s="16" t="inlineStr">
        <is>
          <t>Baixa de cliente fecha com principal, encargos, tarifa e dinheiro efetivo uma única vez.</t>
        </is>
      </c>
      <c r="D45" s="16" t="inlineStr">
        <is>
          <t>Reusar motor de liquidação e conciliação. Adaptar direção de recebimento; pagamentos agrupados, parciais e tarifa retida ficam com composição explícita.</t>
        </is>
      </c>
      <c r="E45" s="16" t="inlineStr">
        <is>
          <t>Recebível, eventos e alocações, extrato, tarifa documentada, conta/titular e D06/D09.</t>
        </is>
      </c>
      <c r="F45" s="16" t="inlineStr">
        <is>
          <t>CT14: R$ 9.800 no banco e tarifa R$ 200 liquidam recebível R$ 10.000, saldo zero. A tarifa não é uma segunda saída descontada de caixa já líquido. CT13: recebimentos R$ 4.000 + R$ 10.000 somam R$ 14.000.</t>
        </is>
      </c>
      <c r="G45" s="16" t="inlineStr">
        <is>
          <t>Teste líquido/bruto/parcial e reimportação, composição da baixa e ponte banco/recebível, com zero atraso artificial.</t>
        </is>
      </c>
      <c r="H45" s="16" t="inlineStr">
        <is>
          <t>§8.5, §12.4, I16, I17, D09</t>
        </is>
      </c>
      <c r="I45" s="16" t="inlineStr">
        <is>
          <t>CT03, CT13, CT14, CT23</t>
        </is>
      </c>
    </row>
    <row r="46" ht="96" customHeight="1">
      <c r="A46" s="16" t="inlineStr">
        <is>
          <t>T33</t>
        </is>
      </c>
      <c r="B46" s="16" t="inlineStr">
        <is>
          <t>Aplicação de crédito, permuta ou cessão pode aparecer simultaneamente como baixa de cliente e caixa adicional.</t>
        </is>
      </c>
      <c r="C46" s="16" t="inlineStr">
        <is>
          <t>Meio de liquidação e origem do dinheiro permanecem distintos; direito remanescente e restituição ficam identificados.</t>
        </is>
      </c>
      <c r="D46" s="16" t="inlineStr">
        <is>
          <t>Reusar liquidações e adiantamento de cliente. Permuta exige avaliação/documento. Cessão e distrato usam apenas tipos/políticas comprovados em D09; falta de política/documento gera exceção. Este cartão não cria motor genérico de cessões; conserva direitos, responsabilidades e restituição devida.</t>
        </is>
      </c>
      <c r="E46" s="16" t="inlineStr">
        <is>
          <t>Documentos de crédito, adiantamento, permuta/distrato/cessão quando aplicáveis, direitos mantidos, valor e alçada da política.</t>
        </is>
      </c>
      <c r="F46" s="16" t="inlineStr">
        <is>
          <t>CT14: dinheiro R$ 30.000 + bem R$ 70.000 liquidam R$ 100.000 com caixa de R$ 30.000. CT22: aplicação de antecipação não gera caixa nem receita automática. Natureza de cessão sem documentação fica pendente, sem baixa/ingresso presumidos.</t>
        </is>
      </c>
      <c r="G46" s="16" t="inlineStr">
        <is>
          <t>Testes de permuta/adiantamento e rejeição de cessão sem classificação, com ligações e conservação dos saldos.</t>
        </is>
      </c>
      <c r="H46" s="16" t="inlineStr">
        <is>
          <t>§8.2, §8.5, I09, I16, I18, D09</t>
        </is>
      </c>
      <c r="I46" s="16" t="inlineStr">
        <is>
          <t>CT10, CT14, CT21, CT22</t>
        </is>
      </c>
    </row>
    <row r="47" ht="96" customHeight="1">
      <c r="A47" s="16" t="inlineStr">
        <is>
          <t>T34</t>
        </is>
      </c>
      <c r="B47" s="16" t="inlineStr">
        <is>
          <t>Toda carteira futura no denominador dilui atraso; prever recebimento tardio não pode apagar inadimplência.</t>
        </is>
      </c>
      <c r="C47" s="16" t="inlineStr">
        <is>
          <t>I18 combina direitos abertos e futuro ainda não representado; I19 calcula saldo vencido e taxa na coorte correta.</t>
        </is>
      </c>
      <c r="D47" s="16" t="inlineStr">
        <is>
          <t>Cobertura de contrato de venda, antecipações já abatidas, coorte e carência explícitas, renegociação preservada; vendas futuras só em cenário.</t>
        </is>
      </c>
      <c r="E47" s="16" t="inlineStr">
        <is>
          <t>Contratos/parcelas, corte T, coorte acordada, pagamentos e política D09. Agenda do contrato de venda modelada no cadastro de recebíveis; não depende de contrato de compras.</t>
        </is>
      </c>
      <c r="F47" s="16" t="inlineStr">
        <is>
          <t>CT13: principal exigível da coorte R$ 20.000, principal vencido R$ 6.000, taxa 30%, saldo vencido com juros R$ 6.120 e carteira aberta R$ 86.120. CT22: adiantamento recebido R$ 20.000, parcela R$ 40.000 e futuro não titulado R$ 60.000 geram entradas futuras de R$ 80.000, sem segundo abatimento. Denominador zero gera não aplicável.</t>
        </is>
      </c>
      <c r="G47" s="16" t="inlineStr">
        <is>
          <t>Teste de coorte e reprogramação, relatório de carteira com principal/encargos e versão de política.</t>
        </is>
      </c>
      <c r="H47" s="16" t="inlineStr">
        <is>
          <t>I18, I19, D09</t>
        </is>
      </c>
      <c r="I47" s="16" t="inlineStr">
        <is>
          <t>CT13, CT17, CT22</t>
        </is>
      </c>
    </row>
    <row r="48" ht="96" customHeight="1">
      <c r="A48" s="16" t="inlineStr">
        <is>
          <t>T35</t>
        </is>
      </c>
      <c r="B48" s="16" t="inlineStr">
        <is>
          <t>Somar as duas pontas de transferência como fluxos externos infla entradas e saídas; datas diferentes exigem trânsito.</t>
        </is>
      </c>
      <c r="C48" s="16" t="inlineStr">
        <is>
          <t>Principal pareado movimenta contas, mas não o fluxo externo consolidado; tarifa permanece externa.</t>
        </is>
      </c>
      <c r="D48" s="16" t="inlineStr">
        <is>
          <t>Vínculo das pontas, titularidade, datas diferentes, trânsito indisponível e taxa; não inventar crédito na conta receptora.</t>
        </is>
      </c>
      <c r="E48" s="16" t="inlineStr">
        <is>
          <t>Contas/titulares, duas transações bancárias e documentos de tarifa.</t>
        </is>
      </c>
      <c r="F48" s="16" t="inlineStr">
        <is>
          <t>Transferência 20 mil com tarifa 15 reduz caixa consolidado em 15 e fluxo externo em 15; uma só ponta mantém 20 mil em trânsito sem saldo fictício na conta destino.</t>
        </is>
      </c>
      <c r="G48" s="16" t="inlineStr">
        <is>
          <t>Testes duas pontas/no mesmo dia e em dias diferentes; extratos por conta e reconciliação consolidada.</t>
        </is>
      </c>
      <c r="H48" s="16" t="inlineStr">
        <is>
          <t>§8.6, I02, I17, I20, §12.7, D13</t>
        </is>
      </c>
      <c r="I48" s="16" t="inlineStr">
        <is>
          <t>CT15</t>
        </is>
      </c>
    </row>
    <row r="49" ht="96" customHeight="1">
      <c r="A49" s="16" t="inlineStr">
        <is>
          <t>T36</t>
        </is>
      </c>
      <c r="B49" s="16" t="inlineStr">
        <is>
          <t>Transferência entre empresas tem natureza jurídica e não pode ser eliminada em relatório individual nem confundida com rateio de obra.</t>
        </is>
      </c>
      <c r="C49" s="16" t="inlineStr">
        <is>
          <t>Operações interentidades mantêm efeitos individuais e eliminação só no consolidado autorizado com ambas as contrapartidas.</t>
        </is>
      </c>
      <c r="D49" s="16" t="inlineStr">
        <is>
          <t>Mútuo/aporte/reembolso/pagamento por terceiro conforme documento; perímetro de eliminação; reapropriação entre obras sem caixa; permissões de ambas as partes.</t>
        </is>
      </c>
      <c r="E49" s="16" t="inlineStr">
        <is>
          <t>D13, documentos de natureza, entidades/contas e perímetro autorizado.</t>
        </is>
      </c>
      <c r="F49" s="16" t="inlineStr">
        <is>
          <t>CT16: mútuo A→B de R$ 20.000 leva caixas individuais de R$ 50.000/R$ 10.000 para R$ 30.000/R$ 30.000. A conserva crédito de R$ 20.000 e B passivo de R$ 20.000. Consolidado autorizado mantém caixa R$ 60.000 e elimina contrapartidas, sem criar custo ou receita. Reapropriação entre obras não cria banco.</t>
        </is>
      </c>
      <c r="G49" s="16" t="inlineStr">
        <is>
          <t>Teste individual/consolidado e permissão parcial; ponte de eliminações e documento da natureza.</t>
        </is>
      </c>
      <c r="H49" s="16" t="inlineStr">
        <is>
          <t>§8.6, §9, D13</t>
        </is>
      </c>
      <c r="I49" s="16" t="inlineStr">
        <is>
          <t>CT16, CT24</t>
        </is>
      </c>
    </row>
    <row r="50" ht="96" customHeight="1">
      <c r="A50" s="16" t="inlineStr">
        <is>
          <t>T37</t>
        </is>
      </c>
      <c r="B50" s="16" t="inlineStr">
        <is>
          <t>Importação ou correção posterior pode reescrever silenciosamente a posição já fechada.</t>
        </is>
      </c>
      <c r="C50" s="16" t="inlineStr">
        <is>
          <t>Fechamento conserva versão e retificação aprovada produz nova apresentação com ponte da diferença.</t>
        </is>
      </c>
      <c r="D50" s="16" t="inlineStr">
        <is>
          <t>Bloquear alteração retroativa por UI/API/importação; solicitação com motivo, data descoberta, fato e aprovador; estimativa futura segue nova previsão, erro passado segue retificação; exceção não vira dado completo.</t>
        </is>
      </c>
      <c r="E50" s="16" t="inlineStr">
        <is>
          <t>D11/D12, períodos e alçadas, versões de política/fontes, eventos que corrigem legado.</t>
        </is>
      </c>
      <c r="F50" s="16" t="inlineStr">
        <is>
          <t>Setembro 500 mil permanece em K original; serviço omitido 30 mil gera 530 mil na reapresentação autorizada; caixa mantém data real; tentativa direta/reimportação não altera fechamento.</t>
        </is>
      </c>
      <c r="G50" s="16" t="inlineStr">
        <is>
          <t>Testes por diferentes canais, duas versões consultáveis, aprovação e ponte+30 mil.</t>
        </is>
      </c>
      <c r="H50" s="16" t="inlineStr">
        <is>
          <t>§10, D11, D12</t>
        </is>
      </c>
      <c r="I50" s="16" t="inlineStr">
        <is>
          <t>CT02, CT20</t>
        </is>
      </c>
    </row>
    <row r="51" ht="96" customHeight="1">
      <c r="A51" s="16" t="inlineStr">
        <is>
          <t>T38</t>
        </is>
      </c>
      <c r="B51" s="16" t="inlineStr">
        <is>
          <t>Dado ausente tratado como zero ou selo geral de completo mascara falhas específicas.</t>
        </is>
      </c>
      <c r="C51" s="16" t="inlineStr">
        <is>
          <t>Cada resultado distingue confirmado, informado, estimado e desconhecido e informa lacunas, valor/quantidade em revisão e cobertura conhecida.</t>
        </is>
      </c>
      <c r="D51" s="16" t="inlineStr">
        <is>
          <t>I22 e contrato de qualidade: denominadores explícitos, cobertura externa desconhecida, rateio e conciliação separados; regras D12; exceção aprovada não muda qualidade real.</t>
        </is>
      </c>
      <c r="E51" s="16" t="inlineStr">
        <is>
          <t>Manifestos, exceções, vencimentos/valores ausentes, alocações e extratos; política de atualização e tolerâncias.</t>
        </is>
      </c>
      <c r="F51" s="16" t="inlineStr">
        <is>
          <t>Sem universo conhecido não há 100%; falta contrato impede Q completo, mas não apaga saldo conhecido; pendência de obra não impede mostrar saldo bancário comprovado da entidade; ausência não vira 0.</t>
        </is>
      </c>
      <c r="G51" s="16" t="inlineStr">
        <is>
          <t>Testes combinando lacunas por indicador, numeradores/denominadores e exemplos de mensagens com impacto.</t>
        </is>
      </c>
      <c r="H51" s="16" t="inlineStr">
        <is>
          <t>§11, I22, D12</t>
        </is>
      </c>
      <c r="I51" s="16" t="inlineStr">
        <is>
          <t>CT12, CT21, CT26</t>
        </is>
      </c>
    </row>
    <row r="52" ht="96" customHeight="1">
      <c r="A52" s="16" t="inlineStr">
        <is>
          <t>T39</t>
        </is>
      </c>
      <c r="B52" s="16" t="inlineStr">
        <is>
          <t>Projetar sobre saldo sem restrições ou repetir empréstimo/saída contida em Q distorce necessidade de caixa.</t>
        </is>
      </c>
      <c r="C52" s="16" t="inlineStr">
        <is>
          <t>I20/I21 calculam disponibilidade inicial e saldos mensais por cenário com necessidade máxima em relação ao caixa mínimo.</t>
        </is>
      </c>
      <c r="D52" s="16" t="inlineStr">
        <is>
          <t>Contas e restrições, fontes de financiamento por evento único, principal e encargos separados, horizonte até última obrigação; necessidade permanece parcial se agenda incompleta.</t>
        </is>
      </c>
      <c r="E52" s="16" t="inlineStr">
        <is>
          <t>Extratos/saldos iniciais, restrições, entradas contratuais, R/C/P/AF calendarizados, empréstimos e caixa mínimo.</t>
        </is>
      </c>
      <c r="F52" s="16" t="inlineStr">
        <is>
          <t>CT29: saldo bancário R$ 120.000 menos restrição R$ 20.000 gera disponibilidade R$ 100.000. Entradas R$ 60.000/R$ 80.000 e saídas R$ 120.000/R$ 150.000 geram saldos R$ 40.000 e menos R$ 30.000; mínimo R$ 20.000 exige R$ 50.000. Amortização já incluída nas saídas não é somada outra vez; limite não utilizado não vira caixa.</t>
        </is>
      </c>
      <c r="G52" s="16" t="inlineStr">
        <is>
          <t>Teste do exemplo 12.7, relatório mensal com composição e cenário/timestamp; caso de horizonte incompleto.</t>
        </is>
      </c>
      <c r="H52" s="16" t="inlineStr">
        <is>
          <t>I20, I21, §12.7, D04, D13</t>
        </is>
      </c>
      <c r="I52" s="16" t="inlineStr">
        <is>
          <t>CT17, CT29</t>
        </is>
      </c>
    </row>
    <row r="53" ht="96" customHeight="1">
      <c r="A53" s="16" t="inlineStr">
        <is>
          <t>T40</t>
        </is>
      </c>
      <c r="B53" s="16" t="inlineStr">
        <is>
          <t>Consumidores distintos podem repetir fórmulas divergentes e esconder a composição.</t>
        </is>
      </c>
      <c r="C53" s="16" t="inlineStr">
        <is>
          <t>Mesmo filtro,perímetro,T,K e política retorna mesma composição monetária em tela, API, relatório e exportação.</t>
        </is>
      </c>
      <c r="D53" s="16" t="inlineStr">
        <is>
          <t>Reusar telas funcionais; substituir somente cálculo duplicado comprovado por contrato único; nomes explícitos caixa/custo/baixa, fonte e drilldown; exportar status e cortes junto com valores.</t>
        </is>
      </c>
      <c r="E53" s="16" t="inlineStr">
        <is>
          <t>Pontos consumidores mapeados T01, contrato de resultados, filtros e cenários de fixtures.</t>
        </is>
      </c>
      <c r="F53" s="16" t="inlineStr">
        <is>
          <t>Valores e IDs de composição são iguais em todas as superfícies; exportação preserva incompletude; total rastreia origem; nenhum indicador muda apenas pela rota de consulta.</t>
        </is>
      </c>
      <c r="G53" s="16" t="inlineStr">
        <is>
          <t>Teste comparativo API/tela/exportação com mesmo contexto; capturas úteis e saída estruturada, commit da mudança mínima.</t>
        </is>
      </c>
      <c r="H53" s="16" t="inlineStr">
        <is>
          <t>§6, §11, §14</t>
        </is>
      </c>
      <c r="I53" s="16" t="inlineStr">
        <is>
          <t>CT21, CT24, CT28</t>
        </is>
      </c>
    </row>
    <row r="54" ht="96" customHeight="1">
      <c r="A54" s="16" t="inlineStr">
        <is>
          <t>T41</t>
        </is>
      </c>
      <c r="B54" s="16" t="inlineStr">
        <is>
          <t>IA pode apresentar valor plausível sem fonte ou usar total potencialmente sobreposto como completo.</t>
        </is>
      </c>
      <c r="C54" s="16" t="inlineStr">
        <is>
          <t>Respostas financeiras usam os mesmos indicadores/composições, cortes e permissões e reconhecem insuficiência de dados.</t>
        </is>
      </c>
      <c r="D54" s="16" t="inlineStr">
        <is>
          <t>Reusar ferramentas da IA; contrato estruturado de resultados e fontes internas; proibir refazer fórmulas no texto; perguntas de quanto falta pagar/custo/atraso/recursos e instruções maliciosas de acesso.</t>
        </is>
      </c>
      <c r="E54" s="16" t="inlineStr">
        <is>
          <t>Ferramentas atuais, controles de contexto, fontes internas por ID e casos de dados completos/incompletos.</t>
        </is>
      </c>
      <c r="F54" s="16" t="inlineStr">
        <is>
          <t>Pergunta retorna Q de 1,18 mi no fixture completo, com R/C/P e T/K; sem vínculos declara subtotal não validado; pedido de dados de outra organização não consulta nem expõe essa base.</t>
        </is>
      </c>
      <c r="G54" s="16" t="inlineStr">
        <is>
          <t>Transcrições de testes com payloads sanitizados e IDs de fonte, comparação com API e testes adversariais de escopo.</t>
        </is>
      </c>
      <c r="H54" s="16" t="inlineStr">
        <is>
          <t>§11, §14, I12, I22</t>
        </is>
      </c>
      <c r="I54" s="16" t="inlineStr">
        <is>
          <t>CT21, CT24, CT28</t>
        </is>
      </c>
    </row>
    <row r="55" ht="96" customHeight="1">
      <c r="A55" s="16" t="inlineStr">
        <is>
          <t>T42</t>
        </is>
      </c>
      <c r="B55" s="16" t="inlineStr">
        <is>
          <t>Autorização correta na tela não comprova que cache, download, job ou consulta da IA preserva o escopo.</t>
        </is>
      </c>
      <c r="C55" s="16" t="inlineStr">
        <is>
          <t>Organização/entidade compõem todas as fronteiras de acesso e as chaves necessárias de cache/processamento.</t>
        </is>
      </c>
      <c r="D55" s="16" t="inlineStr">
        <is>
          <t>Matriz por canal: API, links de exportação, cache, filas/jobs, busca e ferramentas IA; manipular IDs e alternar sessão; usar somente canais presentes no produto.</t>
        </is>
      </c>
      <c r="E55" s="16" t="inlineStr">
        <is>
          <t>Arquitetura levantada, dois usuários/organizações e perfil multientidade autorizado, relatório dos testes T05.</t>
        </is>
      </c>
      <c r="F55" s="16" t="inlineStr">
        <is>
          <t>Resultado/cache criado em A não é retornado a B; job/import/export usa contexto autorizado; ligação cross-tenant rejeitada sem efeito; nenhum PII/saldo de B aparece em erro ou log entregue a A.</t>
        </is>
      </c>
      <c r="G55" s="16" t="inlineStr">
        <is>
          <t>Relatório de autorização por canal existente, testes negativos e revisão das chaves de cache/contexto de job.</t>
        </is>
      </c>
      <c r="H55" s="16" t="inlineStr">
        <is>
          <t>§4, §14, D02, D13</t>
        </is>
      </c>
      <c r="I55" s="16" t="inlineStr">
        <is>
          <t>CT24</t>
        </is>
      </c>
    </row>
    <row r="56" ht="96" customHeight="1">
      <c r="A56" s="16" t="inlineStr">
        <is>
          <t>T43</t>
        </is>
      </c>
      <c r="B56" s="16" t="inlineStr">
        <is>
          <t>Mudar legado sem ponte pode reclassificar massa de títulos ou alterar saldos sem rastreio.</t>
        </is>
      </c>
      <c r="C56" s="16" t="inlineStr">
        <is>
          <t>Plano de migração ensaiado, repetível e reversível, preservando identidade e os dados que já atendem.</t>
        </is>
      </c>
      <c r="D56" s="16" t="inlineStr">
        <is>
          <t>Cópia controlada, dry-run, preservação dos originais, marcação de provisórios, backfill só de dados comprovados, relatório antes/depois; estimar impacto real após inventário, sem prazo inventado. Ensaiar um lote e um perímetro definidos antes de ampliar a execução.</t>
        </is>
      </c>
      <c r="E56" s="16" t="inlineStr">
        <is>
          <t>Snapshot autorizado, política de legado, mapeamentos aprovados e backup/restauração do ambiente de teste.</t>
        </is>
      </c>
      <c r="F56" s="16" t="inlineStr">
        <is>
          <t>Reexecutar migração mantém resultado; cada mudança se explica por regra/evidência; rollback restaura snapshot de teste e versões; registros sem evidência seguem pendentes.</t>
        </is>
      </c>
      <c r="G56" s="16" t="inlineStr">
        <is>
          <t>Script/PR mínimo, hashes, relatório antes/depois por entidade/obra e prova de rollback em homologação.</t>
        </is>
      </c>
      <c r="H56" s="16" t="inlineStr">
        <is>
          <t>§14, D01, D14</t>
        </is>
      </c>
      <c r="I56" s="16" t="inlineStr">
        <is>
          <t>CT01, CT02, CT12, CT20, CT24</t>
        </is>
      </c>
    </row>
    <row r="57" ht="109" customHeight="1">
      <c r="A57" s="16" t="inlineStr">
        <is>
          <t>T44</t>
        </is>
      </c>
      <c r="B57" s="16" t="inlineStr">
        <is>
          <t>Passar testes do algoritmo atual ou publicar uma tela não comprova a regra nem o saneamento dos dados.</t>
        </is>
      </c>
      <c r="C57" s="16" t="inlineStr">
        <is>
          <t>Homologação separa conformidade lógica dos cenários fictícios, cobertura dos dados reais e decisões humanas.</t>
        </is>
      </c>
      <c r="D57" s="16" t="inlineStr">
        <is>
          <t>Executar todos os casos esperados sem recalcular expected pelo app; reconciliar amostra e totais do corte comum; registrar diferenças, lacunas e aprovação por tarefa/indicador.</t>
        </is>
      </c>
      <c r="E57" s="16" t="inlineStr">
        <is>
          <t>Oráculos fixos, relatório de testes, fontes preservadas, ponte de migração, amostra definida e responsáveis.</t>
        </is>
      </c>
      <c r="F57" s="16" t="inlineStr">
        <is>
          <t>Todos os casos obrigatórios passam centavo/IDs/datas/permissões; divergência real tem causa ou permanece aberta com impacto; responsável confirma alcance do aceite, sem declarar confiável universo não coberto.</t>
        </is>
      </c>
      <c r="G57" s="16" t="inlineStr">
        <is>
          <t>Resultado esperado/obtido por caso, comando/commit/ambiente, ponte assinada e lista de exceções sobreviventes.</t>
        </is>
      </c>
      <c r="H57" s="16" t="inlineStr">
        <is>
          <t>§12, §14, D12, D14</t>
        </is>
      </c>
      <c r="I57" s="16" t="inlineStr">
        <is>
          <t>CT01, CT02, CT03, CT04, CT05, CT06, CT07, CT08, CT09, CT10, CT11, CT12, CT13, CT14, CT15, CT16, CT17, CT18, CT19, CT20, CT21, CT22, CT23, CT24, CT25, CT26, CT27, CT28, CT29, CT30</t>
        </is>
      </c>
    </row>
    <row r="58" ht="96" customHeight="1">
      <c r="A58" s="16" t="inlineStr">
        <is>
          <t>T45</t>
        </is>
      </c>
      <c r="B58" s="16" t="inlineStr">
        <is>
          <t>Uma liberação sem evidências pode propagar número incorreto para todos os consumidores.</t>
        </is>
      </c>
      <c r="C58" s="16" t="inlineStr">
        <is>
          <t>Critérios de ativação, comparação com versão anterior e retorno operacional permitem liberar somente o escopo homologado.</t>
        </is>
      </c>
      <c r="D58" s="16" t="inlineStr">
        <is>
          <t>Plano de implantação controlada com responsáveis; ativação por entidade/indicador quando viável; observação de importação, duplicidade, pendências, reconciliação e acesso; plano de retorno que não apague fatos posteriores.</t>
        </is>
      </c>
      <c r="E58" s="16" t="inlineStr">
        <is>
          <t>Aceite T44, versão de código/configuração/política, responsáveis e controles de produção autorizados.</t>
        </is>
      </c>
      <c r="F58" s="16" t="inlineStr">
        <is>
          <t>Ativação exige evidências de T44 e decisão registrada; comparação pós-ativação identifica diferença esperada; falha tem ação responsável e retorno que conserva novas transações; fora do perímetro permanece sem selo completo.</t>
        </is>
      </c>
      <c r="G58" s="16" t="inlineStr">
        <is>
          <t>Registro de liberação, checks pós-implantação, comparação por indicador e registro de responsáveis/contingência.</t>
        </is>
      </c>
      <c r="H58" s="16" t="inlineStr">
        <is>
          <t>§14, D14</t>
        </is>
      </c>
      <c r="I58" s="16" t="inlineStr">
        <is>
          <t>CT21, CT24, CT28</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L22"/>
  <sheetViews>
    <sheetView showGridLines="0" workbookViewId="0">
      <pane xSplit="2" ySplit="8" topLeftCell="C9" activePane="bottomRight" state="frozen"/>
      <selection activeCell="A1" sqref="A1"/>
    </sheetView>
  </sheetViews>
  <sheetFormatPr baseColWidth="8" defaultRowHeight="15"/>
  <cols>
    <col width="10" customWidth="1" min="1" max="1"/>
    <col width="30" customWidth="1" min="2" max="2"/>
    <col width="64" customWidth="1" min="3" max="3"/>
    <col width="64" customWidth="1" min="4" max="4"/>
    <col width="32" customWidth="1" min="5" max="5"/>
    <col width="54" customWidth="1" min="6" max="6"/>
    <col width="28" customWidth="1" min="7" max="7"/>
    <col width="20" customWidth="1" min="8" max="8"/>
    <col width="20" customWidth="1" min="9" max="9"/>
    <col width="45" customWidth="1" min="10" max="10"/>
    <col width="24" customWidth="1" min="11" max="11"/>
    <col width="45" customWidth="1" min="12" max="12"/>
  </cols>
  <sheetData>
    <row r="1" ht="10" customHeight="1">
      <c r="A1" s="14" t="n"/>
      <c r="B1" s="14" t="n"/>
      <c r="C1" s="14" t="n"/>
      <c r="D1" s="14" t="n"/>
      <c r="E1" s="14" t="n"/>
      <c r="F1" s="14" t="n"/>
      <c r="G1" s="14" t="n"/>
      <c r="H1" s="14" t="n"/>
      <c r="I1" s="14" t="n"/>
      <c r="J1" s="14" t="n"/>
      <c r="K1" s="14" t="n"/>
      <c r="L1" s="14" t="n"/>
    </row>
    <row r="2" ht="25" customHeight="1">
      <c r="A2" s="3" t="inlineStr">
        <is>
          <t>Parâmetros financeiros para implantação</t>
        </is>
      </c>
      <c r="B2" s="14" t="n"/>
      <c r="C2" s="14" t="n"/>
      <c r="D2" s="14" t="n"/>
      <c r="E2" s="14" t="n"/>
      <c r="F2" s="14" t="n"/>
      <c r="G2" s="14" t="n"/>
      <c r="H2" s="14" t="n"/>
      <c r="I2" s="14" t="n"/>
      <c r="J2" s="14" t="n"/>
      <c r="K2" s="14" t="n"/>
      <c r="L2" s="14" t="n"/>
    </row>
    <row r="3">
      <c r="A3" s="4" t="n"/>
      <c r="B3" s="4" t="n"/>
      <c r="C3" s="4" t="n"/>
      <c r="D3" s="4" t="n"/>
      <c r="E3" s="4" t="n"/>
      <c r="F3" s="4" t="n"/>
      <c r="G3" s="4" t="n"/>
      <c r="H3" s="4" t="n"/>
      <c r="I3" s="4" t="n"/>
      <c r="J3" s="4" t="n"/>
      <c r="K3" s="4" t="n"/>
      <c r="L3" s="4" t="n"/>
    </row>
    <row r="4">
      <c r="A4" s="14" t="n"/>
      <c r="B4" s="14" t="inlineStr">
        <is>
          <t>Decisões com registro completo</t>
        </is>
      </c>
      <c r="C4" s="14">
        <f>COUNTIFS(K9:K22,"Registrada")</f>
        <v/>
      </c>
      <c r="D4" s="14" t="n"/>
      <c r="E4" s="14" t="n"/>
      <c r="F4" s="14" t="n"/>
      <c r="G4" s="14" t="n"/>
      <c r="H4" s="14" t="n"/>
      <c r="I4" s="14" t="n"/>
      <c r="J4" s="14" t="n"/>
      <c r="K4" s="14" t="n"/>
      <c r="L4" s="14" t="n"/>
    </row>
    <row r="5">
      <c r="A5" s="14" t="n"/>
      <c r="B5" s="14" t="n"/>
      <c r="C5" s="14" t="n"/>
      <c r="D5" s="14" t="n"/>
      <c r="E5" s="14" t="n"/>
      <c r="F5" s="14" t="n"/>
      <c r="G5" s="14" t="n"/>
      <c r="H5" s="14" t="n"/>
      <c r="I5" s="14" t="n"/>
      <c r="J5" s="14" t="n"/>
      <c r="K5" s="14" t="n"/>
      <c r="L5" s="14" t="n"/>
    </row>
    <row r="6">
      <c r="A6" s="14" t="inlineStr">
        <is>
          <t>A base de regras foi aceita para planejar. Valores específicos, responsáveis e vigências ainda precisam de registro individual.</t>
        </is>
      </c>
      <c r="B6" s="14" t="n"/>
      <c r="C6" s="14" t="n"/>
      <c r="D6" s="14" t="n"/>
      <c r="E6" s="14" t="n"/>
      <c r="F6" s="14" t="n"/>
      <c r="G6" s="14" t="n"/>
      <c r="H6" s="14" t="n"/>
      <c r="I6" s="14" t="n"/>
      <c r="J6" s="14" t="n"/>
      <c r="K6" s="14" t="n"/>
      <c r="L6" s="14" t="n"/>
    </row>
    <row r="7">
      <c r="A7" s="14" t="inlineStr">
        <is>
          <t>Premissas fictícias servem aos testes. Uma alteração de política exige revisar a versão e os casos afetados.</t>
        </is>
      </c>
      <c r="B7" s="14" t="n"/>
      <c r="C7" s="14" t="n"/>
      <c r="D7" s="14" t="n"/>
      <c r="E7" s="14" t="n"/>
      <c r="F7" s="14" t="n"/>
      <c r="G7" s="14" t="n"/>
      <c r="H7" s="14" t="n"/>
      <c r="I7" s="14" t="n"/>
      <c r="J7" s="14" t="n"/>
      <c r="K7" s="14" t="n"/>
      <c r="L7" s="14" t="n"/>
    </row>
    <row r="8" ht="38" customHeight="1">
      <c r="A8" s="8" t="inlineStr">
        <is>
          <t>ID</t>
        </is>
      </c>
      <c r="B8" s="8" t="inlineStr">
        <is>
          <t>Tema</t>
        </is>
      </c>
      <c r="C8" s="8" t="inlineStr">
        <is>
          <t>Parâmetro a registrar</t>
        </is>
      </c>
      <c r="D8" s="8" t="inlineStr">
        <is>
          <t>Premissa fictícia dos testes</t>
        </is>
      </c>
      <c r="E8" s="8" t="inlineStr">
        <is>
          <t>Área responsável</t>
        </is>
      </c>
      <c r="F8" s="8" t="inlineStr">
        <is>
          <t>Escolha registrada</t>
        </is>
      </c>
      <c r="G8" s="8" t="inlineStr">
        <is>
          <t>Validador</t>
        </is>
      </c>
      <c r="H8" s="8" t="inlineStr">
        <is>
          <t>Data da validação</t>
        </is>
      </c>
      <c r="I8" s="8" t="inlineStr">
        <is>
          <t>Vigência</t>
        </is>
      </c>
      <c r="J8" s="8" t="inlineStr">
        <is>
          <t>Evidência da decisão</t>
        </is>
      </c>
      <c r="K8" s="8" t="inlineStr">
        <is>
          <t>Estado do registro</t>
        </is>
      </c>
      <c r="L8" s="8" t="inlineStr">
        <is>
          <t>Observações</t>
        </is>
      </c>
    </row>
    <row r="9" ht="76" customHeight="1">
      <c r="A9" s="16" t="inlineStr">
        <is>
          <t>D01</t>
        </is>
      </c>
      <c r="B9" s="16" t="inlineStr">
        <is>
          <t>Obra e legado</t>
        </is>
      </c>
      <c r="C9" s="16" t="inlineStr">
        <is>
          <t>Evidências para identificar obra e alcance da revisão das atribuições históricas por padrão.</t>
        </is>
      </c>
      <c r="D9" s="16" t="inlineStr">
        <is>
          <t>Sem evidência, obra nula e valor em não classificado; sem transferência automática para Flow.</t>
        </is>
      </c>
      <c r="E9" s="16" t="inlineStr">
        <is>
          <t>Financeiro e engenharia</t>
        </is>
      </c>
      <c r="F9" s="12" t="str"/>
      <c r="G9" s="12" t="str"/>
      <c r="H9" s="28" t="n"/>
      <c r="I9" s="28" t="n"/>
      <c r="J9" s="12" t="str"/>
      <c r="K9" s="16">
        <f>IF(AND(COUNTBLANK(F9)=0,G9&lt;&gt;"",ISNUMBER(H9),H9&gt;0,ISNUMBER(I9),I9&gt;0,J9&lt;&gt;""),"Registrada","Pendente")</f>
        <v/>
      </c>
      <c r="L9" s="12" t="inlineStr">
        <is>
          <t>Ver t01-t02/parametros.json: referência v0.1 fixada; valor operacional, aprovação nominal e vigência pendentes. Fixtures não são política real.</t>
        </is>
      </c>
    </row>
    <row r="10" ht="76" customHeight="1">
      <c r="A10" s="16" t="inlineStr">
        <is>
          <t>D02</t>
        </is>
      </c>
      <c r="B10" s="16" t="inlineStr">
        <is>
          <t>Corte e perímetro</t>
        </is>
      </c>
      <c r="C10" s="16" t="inlineStr">
        <is>
          <t>Entidades, contas, obras, moeda, fuso, calendário e corte real do piloto.</t>
        </is>
      </c>
      <c r="D10" s="16" t="inlineStr">
        <is>
          <t>BRL; America/Sao_Paulo; datas expressas em cada caso; nenhum ajuste de feriado presumido.</t>
        </is>
      </c>
      <c r="E10" s="16" t="inlineStr">
        <is>
          <t>Financeiro</t>
        </is>
      </c>
      <c r="F10" s="12" t="str"/>
      <c r="G10" s="12" t="str"/>
      <c r="H10" s="28" t="n"/>
      <c r="I10" s="28" t="n"/>
      <c r="J10" s="12" t="str"/>
      <c r="K10" s="16">
        <f>IF(AND(COUNTBLANK(F10)=0,G10&lt;&gt;"",ISNUMBER(H10),H10&gt;0,ISNUMBER(I10),I10&gt;0,J10&lt;&gt;""),"Registrada","Pendente")</f>
        <v/>
      </c>
      <c r="L10" s="12" t="inlineStr">
        <is>
          <t>Ver t01-t02/parametros.json: referência v0.1 fixada; valor operacional, aprovação nominal e vigência pendentes. Fixtures não são política real.</t>
        </is>
      </c>
    </row>
    <row r="11" ht="76" customHeight="1">
      <c r="A11" s="16" t="inlineStr">
        <is>
          <t>D03</t>
        </is>
      </c>
      <c r="B11" s="16" t="inlineStr">
        <is>
          <t>Reconhecimento econômico</t>
        </is>
      </c>
      <c r="C11" s="16" t="inlineStr">
        <is>
          <t>Critério por serviço, material, estoque, folha, equipamento e obrigação sem nota.</t>
        </is>
      </c>
      <c r="D11" s="16" t="inlineStr">
        <is>
          <t>Serviço aceito por execução; material só consumido quando o caso declarar; adiantamento não gera custo.</t>
        </is>
      </c>
      <c r="E11" s="16" t="inlineStr">
        <is>
          <t>Financeiro, engenharia e contador</t>
        </is>
      </c>
      <c r="F11" s="12" t="str"/>
      <c r="G11" s="12" t="str"/>
      <c r="H11" s="28" t="n"/>
      <c r="I11" s="28" t="n"/>
      <c r="J11" s="12" t="str"/>
      <c r="K11" s="16">
        <f>IF(AND(COUNTBLANK(F11)=0,G11&lt;&gt;"",ISNUMBER(H11),H11&gt;0,ISNUMBER(I11),I11&gt;0,J11&lt;&gt;""),"Registrada","Pendente")</f>
        <v/>
      </c>
      <c r="L11" s="12" t="inlineStr">
        <is>
          <t>Ver t01-t02/parametros.json: referência v0.1 fixada; valor operacional, aprovação nominal e vigência pendentes. Fixtures não são política real.</t>
        </is>
      </c>
    </row>
    <row r="12" ht="76" customHeight="1">
      <c r="A12" s="16" t="inlineStr">
        <is>
          <t>D04</t>
        </is>
      </c>
      <c r="B12" s="16" t="inlineStr">
        <is>
          <t>Escopo de Q</t>
        </is>
      </c>
      <c r="C12" s="16" t="inlineStr">
        <is>
          <t>Custos da obra, administração, tributos, financiamento, restituições e retenções após entrega.</t>
        </is>
      </c>
      <c r="D12" s="16" t="inlineStr">
        <is>
          <t>Somente o escopo explicitado no caso. AF igual a zero salvo indicação. Itens de financiamento separados.</t>
        </is>
      </c>
      <c r="E12" s="16" t="inlineStr">
        <is>
          <t>Diretoria e financeiro</t>
        </is>
      </c>
      <c r="F12" s="12" t="str"/>
      <c r="G12" s="12" t="str"/>
      <c r="H12" s="28" t="n"/>
      <c r="I12" s="28" t="n"/>
      <c r="J12" s="12" t="str"/>
      <c r="K12" s="16">
        <f>IF(AND(COUNTBLANK(F12)=0,G12&lt;&gt;"",ISNUMBER(H12),H12&gt;0,ISNUMBER(I12),I12&gt;0,J12&lt;&gt;""),"Registrada","Pendente")</f>
        <v/>
      </c>
      <c r="L12" s="12" t="inlineStr">
        <is>
          <t>Ver t01-t02/parametros.json: referência v0.1 fixada; valor operacional, aprovação nominal e vigência pendentes. Fixtures não são política real.</t>
        </is>
      </c>
    </row>
    <row r="13" ht="76" customHeight="1">
      <c r="A13" s="16" t="inlineStr">
        <is>
          <t>D05</t>
        </is>
      </c>
      <c r="B13" s="16" t="inlineStr">
        <is>
          <t>Rateios</t>
        </is>
      </c>
      <c r="C13" s="16" t="inlineStr">
        <is>
          <t>Direcionadores, rateio do pagamento parcial e método de resíduos.</t>
        </is>
      </c>
      <c r="D13" s="16" t="inlineStr">
        <is>
          <t>60/40 no caso específico; parciais proporcionais nesse caso; maior resto com desempate por ID estável para centavos.</t>
        </is>
      </c>
      <c r="E13" s="16" t="inlineStr">
        <is>
          <t>Financeiro e engenharia</t>
        </is>
      </c>
      <c r="F13" s="12" t="str"/>
      <c r="G13" s="12" t="str"/>
      <c r="H13" s="28" t="n"/>
      <c r="I13" s="28" t="n"/>
      <c r="J13" s="12" t="str"/>
      <c r="K13" s="16">
        <f>IF(AND(COUNTBLANK(F13)=0,G13&lt;&gt;"",ISNUMBER(H13),H13&gt;0,ISNUMBER(I13),I13&gt;0,J13&lt;&gt;""),"Registrada","Pendente")</f>
        <v/>
      </c>
      <c r="L13" s="12" t="inlineStr">
        <is>
          <t>Ver t01-t02/parametros.json: referência v0.1 fixada; valor operacional, aprovação nominal e vigência pendentes. Fixtures não são política real.</t>
        </is>
      </c>
    </row>
    <row r="14" ht="76" customHeight="1">
      <c r="A14" s="16" t="inlineStr">
        <is>
          <t>D06</t>
        </is>
      </c>
      <c r="B14" s="16" t="inlineStr">
        <is>
          <t>Liquidação e caixa</t>
        </is>
      </c>
      <c r="C14" s="16" t="inlineStr">
        <is>
          <t>Imputação entre componentes, prova mínima, trânsito e convenção de data do caixa.</t>
        </is>
      </c>
      <c r="D14" s="16" t="inlineStr">
        <is>
          <t>Componentes expressos; caixa na data bancária; sem extrato, baixa declarada e não caixa confirmado.</t>
        </is>
      </c>
      <c r="E14" s="16" t="inlineStr">
        <is>
          <t>Financeiro</t>
        </is>
      </c>
      <c r="F14" s="12" t="str"/>
      <c r="G14" s="12" t="str"/>
      <c r="H14" s="28" t="n"/>
      <c r="I14" s="28" t="n"/>
      <c r="J14" s="12" t="str"/>
      <c r="K14" s="16">
        <f>IF(AND(COUNTBLANK(F14)=0,G14&lt;&gt;"",ISNUMBER(H14),H14&gt;0,ISNUMBER(I14),I14&gt;0,J14&lt;&gt;""),"Registrada","Pendente")</f>
        <v/>
      </c>
      <c r="L14" s="12" t="inlineStr">
        <is>
          <t>Ver t01-t02/parametros.json: referência v0.1 fixada; valor operacional, aprovação nominal e vigência pendentes. Fixtures não são política real.</t>
        </is>
      </c>
    </row>
    <row r="15" ht="76" customHeight="1">
      <c r="A15" s="16" t="inlineStr">
        <is>
          <t>D07</t>
        </is>
      </c>
      <c r="B15" s="16" t="inlineStr">
        <is>
          <t>Encargos e descontos</t>
        </is>
      </c>
      <c r="C15" s="16" t="inlineStr">
        <is>
          <t>Cláusula, índice, periodicidade, arredondamento e validade do desconto após devolução.</t>
        </is>
      </c>
      <c r="D15" s="16" t="inlineStr">
        <is>
          <t>Somente encargos explicitamente informados. Cenários distintos para desconto mantido ou perdido.</t>
        </is>
      </c>
      <c r="E15" s="16" t="inlineStr">
        <is>
          <t>Financeiro e contador</t>
        </is>
      </c>
      <c r="F15" s="12" t="str"/>
      <c r="G15" s="12" t="str"/>
      <c r="H15" s="28" t="n"/>
      <c r="I15" s="28" t="n"/>
      <c r="J15" s="12" t="str"/>
      <c r="K15" s="16">
        <f>IF(AND(COUNTBLANK(F15)=0,G15&lt;&gt;"",ISNUMBER(H15),H15&gt;0,ISNUMBER(I15),I15&gt;0,J15&lt;&gt;""),"Registrada","Pendente")</f>
        <v/>
      </c>
      <c r="L15" s="12" t="inlineStr">
        <is>
          <t>Ver t01-t02/parametros.json: referência v0.1 fixada; valor operacional, aprovação nominal e vigência pendentes. Fixtures não são política real.</t>
        </is>
      </c>
    </row>
    <row r="16" ht="76" customHeight="1">
      <c r="A16" s="16" t="inlineStr">
        <is>
          <t>D08</t>
        </is>
      </c>
      <c r="B16" s="16" t="inlineStr">
        <is>
          <t>Retenções e tributos</t>
        </is>
      </c>
      <c r="C16" s="16" t="inlineStr">
        <is>
          <t>Fato gerador, credor, liberação, recuperação e reflexo no custo.</t>
        </is>
      </c>
      <c r="D16" s="16" t="inlineStr">
        <is>
          <t>Valores fictícios fixos, sem sugerir alíquota legal; retenção e tributo de terceiro integram o preço quando declarado.</t>
        </is>
      </c>
      <c r="E16" s="16" t="inlineStr">
        <is>
          <t>Contador e financeiro</t>
        </is>
      </c>
      <c r="F16" s="12" t="str"/>
      <c r="G16" s="12" t="str"/>
      <c r="H16" s="28" t="n"/>
      <c r="I16" s="28" t="n"/>
      <c r="J16" s="12" t="str"/>
      <c r="K16" s="16">
        <f>IF(AND(COUNTBLANK(F16)=0,G16&lt;&gt;"",ISNUMBER(H16),H16&gt;0,ISNUMBER(I16),I16&gt;0,J16&lt;&gt;""),"Registrada","Pendente")</f>
        <v/>
      </c>
      <c r="L16" s="12" t="inlineStr">
        <is>
          <t>Ver t01-t02/parametros.json: referência v0.1 fixada; valor operacional, aprovação nominal e vigência pendentes. Fixtures não são política real.</t>
        </is>
      </c>
    </row>
    <row r="17" ht="76" customHeight="1">
      <c r="A17" s="16" t="inlineStr">
        <is>
          <t>D09</t>
        </is>
      </c>
      <c r="B17" s="16" t="inlineStr">
        <is>
          <t>Recebíveis</t>
        </is>
      </c>
      <c r="C17" s="16" t="inlineStr">
        <is>
          <t>Coorte, carência, renegociação, permuta, cessão, distrato e política de receita.</t>
        </is>
      </c>
      <c r="D17" s="16" t="inlineStr">
        <is>
          <t>Atraso sem carência no caso; denominador da própria coorte; receita não inferida de caixa.</t>
        </is>
      </c>
      <c r="E17" s="16" t="inlineStr">
        <is>
          <t>Financeiro e contador</t>
        </is>
      </c>
      <c r="F17" s="12" t="str"/>
      <c r="G17" s="12" t="str"/>
      <c r="H17" s="28" t="n"/>
      <c r="I17" s="28" t="n"/>
      <c r="J17" s="12" t="str"/>
      <c r="K17" s="16">
        <f>IF(AND(COUNTBLANK(F17)=0,G17&lt;&gt;"",ISNUMBER(H17),H17&gt;0,ISNUMBER(I17),I17&gt;0,J17&lt;&gt;""),"Registrada","Pendente")</f>
        <v/>
      </c>
      <c r="L17" s="12" t="inlineStr">
        <is>
          <t>Ver t01-t02/parametros.json: referência v0.1 fixada; valor operacional, aprovação nominal e vigência pendentes. Fixtures não são política real.</t>
        </is>
      </c>
    </row>
    <row r="18" ht="76" customHeight="1">
      <c r="A18" s="16" t="inlineStr">
        <is>
          <t>D10</t>
        </is>
      </c>
      <c r="B18" s="16" t="inlineStr">
        <is>
          <t>Orçamento e previsão</t>
        </is>
      </c>
      <c r="C18" s="16" t="inlineStr">
        <is>
          <t>Revisão efetivamente aprovada, fórmulas, EAP, base de preços e alcance até conclusão.</t>
        </is>
      </c>
      <c r="D18" s="16" t="inlineStr">
        <is>
          <t>Orçamentos e estimativas fictícios declarados. Rev03 real não promovida sem validação.</t>
        </is>
      </c>
      <c r="E18" s="16" t="inlineStr">
        <is>
          <t>Engenharia e financeiro</t>
        </is>
      </c>
      <c r="F18" s="12" t="str"/>
      <c r="G18" s="12" t="str"/>
      <c r="H18" s="28" t="n"/>
      <c r="I18" s="28" t="n"/>
      <c r="J18" s="12" t="str"/>
      <c r="K18" s="16">
        <f>IF(AND(COUNTBLANK(F18)=0,G18&lt;&gt;"",ISNUMBER(H18),H18&gt;0,ISNUMBER(I18),I18&gt;0,J18&lt;&gt;""),"Registrada","Pendente")</f>
        <v/>
      </c>
      <c r="L18" s="12" t="inlineStr">
        <is>
          <t>Ver t01-t02/parametros.json: referência v0.1 fixada; valor operacional, aprovação nominal e vigência pendentes. Fixtures não são política real.</t>
        </is>
      </c>
    </row>
    <row r="19" ht="76" customHeight="1">
      <c r="A19" s="16" t="inlineStr">
        <is>
          <t>D11</t>
        </is>
      </c>
      <c r="B19" s="16" t="inlineStr">
        <is>
          <t>Períodos fechados</t>
        </is>
      </c>
      <c r="C19" s="16" t="inlineStr">
        <is>
          <t>Alçadas, materialidade, reabertura, reapresentação e tratamento contábil.</t>
        </is>
      </c>
      <c r="D19" s="16" t="inlineStr">
        <is>
          <t>Versão original preservada; retificação somente em nova versão autorizada; caixa na data real.</t>
        </is>
      </c>
      <c r="E19" s="16" t="inlineStr">
        <is>
          <t>Financeiro e contador</t>
        </is>
      </c>
      <c r="F19" s="12" t="str"/>
      <c r="G19" s="12" t="str"/>
      <c r="H19" s="28" t="n"/>
      <c r="I19" s="28" t="n"/>
      <c r="J19" s="12" t="str"/>
      <c r="K19" s="16">
        <f>IF(AND(COUNTBLANK(F19)=0,G19&lt;&gt;"",ISNUMBER(H19),H19&gt;0,ISNUMBER(I19),I19&gt;0,J19&lt;&gt;""),"Registrada","Pendente")</f>
        <v/>
      </c>
      <c r="L19" s="12" t="inlineStr">
        <is>
          <t>Ver t01-t02/parametros.json: referência v0.1 fixada; valor operacional, aprovação nominal e vigência pendentes. Fixtures não são política real.</t>
        </is>
      </c>
    </row>
    <row r="20" ht="76" customHeight="1">
      <c r="A20" s="16" t="inlineStr">
        <is>
          <t>D12</t>
        </is>
      </c>
      <c r="B20" s="16" t="inlineStr">
        <is>
          <t>Completude</t>
        </is>
      </c>
      <c r="C20" s="16" t="inlineStr">
        <is>
          <t>Lacunas bloqueantes, tolerâncias e atualização esperada por indicador.</t>
        </is>
      </c>
      <c r="D20" s="16" t="inlineStr">
        <is>
          <t>Igualdade monetária exata em centavos. Falta de vínculo/valor/universo não gera selo completo.</t>
        </is>
      </c>
      <c r="E20" s="16" t="inlineStr">
        <is>
          <t>Financeiro</t>
        </is>
      </c>
      <c r="F20" s="12" t="str"/>
      <c r="G20" s="12" t="str"/>
      <c r="H20" s="28" t="n"/>
      <c r="I20" s="28" t="n"/>
      <c r="J20" s="12" t="str"/>
      <c r="K20" s="16">
        <f>IF(AND(COUNTBLANK(F20)=0,G20&lt;&gt;"",ISNUMBER(H20),H20&gt;0,ISNUMBER(I20),I20&gt;0,J20&lt;&gt;""),"Registrada","Pendente")</f>
        <v/>
      </c>
      <c r="L20" s="12" t="inlineStr">
        <is>
          <t>Ver t01-t02/parametros.json: referência v0.1 fixada; valor operacional, aprovação nominal e vigência pendentes. Fixtures não são política real.</t>
        </is>
      </c>
    </row>
    <row r="21" ht="76" customHeight="1">
      <c r="A21" s="16" t="inlineStr">
        <is>
          <t>D13</t>
        </is>
      </c>
      <c r="B21" s="16" t="inlineStr">
        <is>
          <t>Operações entre entidades</t>
        </is>
      </c>
      <c r="C21" s="16" t="inlineStr">
        <is>
          <t>Natureza e perímetro permitido de consolidação e eliminação.</t>
        </is>
      </c>
      <c r="D21" s="16" t="inlineStr">
        <is>
          <t>Transferência própria somente com mesmo titular; entre entidades conserva registros individuais e elimina apenas no perímetro autorizado.</t>
        </is>
      </c>
      <c r="E21" s="16" t="inlineStr">
        <is>
          <t>Financeiro e contador</t>
        </is>
      </c>
      <c r="F21" s="12" t="str"/>
      <c r="G21" s="12" t="str"/>
      <c r="H21" s="28" t="n"/>
      <c r="I21" s="28" t="n"/>
      <c r="J21" s="12" t="str"/>
      <c r="K21" s="16">
        <f>IF(AND(COUNTBLANK(F21)=0,G21&lt;&gt;"",ISNUMBER(H21),H21&gt;0,ISNUMBER(I21),I21&gt;0,J21&lt;&gt;""),"Registrada","Pendente")</f>
        <v/>
      </c>
      <c r="L21" s="12" t="inlineStr">
        <is>
          <t>Ver t01-t02/parametros.json: referência v0.1 fixada; valor operacional, aprovação nominal e vigência pendentes. Fixtures não são política real.</t>
        </is>
      </c>
    </row>
    <row r="22" ht="76" customHeight="1">
      <c r="A22" s="16" t="inlineStr">
        <is>
          <t>D14</t>
        </is>
      </c>
      <c r="B22" s="16" t="inlineStr">
        <is>
          <t>Homologação e migração</t>
        </is>
      </c>
      <c r="C22" s="16" t="inlineStr">
        <is>
          <t>Amostra, responsável pelo aceite, condições de ativação e reversão.</t>
        </is>
      </c>
      <c r="D22" s="16" t="inlineStr">
        <is>
          <t>Empresas e dados fictícios isolados; nenhum caso deste pacote equivale a execução ou aceite do aplicativo.</t>
        </is>
      </c>
      <c r="E22" s="16" t="inlineStr">
        <is>
          <t>Financeiro e tecnologia</t>
        </is>
      </c>
      <c r="F22" s="12" t="str"/>
      <c r="G22" s="12" t="str"/>
      <c r="H22" s="28" t="n"/>
      <c r="I22" s="28" t="n"/>
      <c r="J22" s="12" t="str"/>
      <c r="K22" s="16">
        <f>IF(AND(COUNTBLANK(F22)=0,G22&lt;&gt;"",ISNUMBER(H22),H22&gt;0,ISNUMBER(I22),I22&gt;0,J22&lt;&gt;""),"Registrada","Pendente")</f>
        <v/>
      </c>
      <c r="L22" s="12" t="inlineStr">
        <is>
          <t>Ver t01-t02/parametros.json: referência v0.1 fixada; valor operacional, aprovação nominal e vigência pendentes. Fixtures não são política real.</t>
        </is>
      </c>
    </row>
  </sheetData>
  <conditionalFormatting sqref="K9:K22">
    <cfRule type="containsText" priority="1" operator="containsText" dxfId="0" text="Pendente"/>
  </conditionalFormatting>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2026-10-21T18:06:45Z</dcterms:created>
  <dcterms:modified xmlns:dcterms="http://purl.org/dc/terms/" xmlns:xsi="http://www.w3.org/2001/XMLSchema-instance" xsi:type="dcterms:W3CDTF">2026-10-21T20:20:54Z</dcterms:modified>
</cp:coreProperties>
</file>