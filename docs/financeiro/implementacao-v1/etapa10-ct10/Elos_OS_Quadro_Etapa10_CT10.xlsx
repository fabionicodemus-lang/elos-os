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 xmlns:r="http://schemas.openxmlformats.org/officeDocument/2006/relationships" name="Etapa9_Confronto" sheetId="7" state="visible" r:id="rId7"/>
    <sheet xmlns:r="http://schemas.openxmlformats.org/officeDocument/2006/relationships" name="Etapa10_CT10" sheetId="8" state="visible" r:id="rId8"/>
  </sheets>
  <definedNames>
    <definedName name="_xlnm._FilterDatabase" localSheetId="4" hidden="1">'Etapa7_Cobertura'!$A$1:$F$31</definedName>
    <definedName name="_xlnm._FilterDatabase" localSheetId="5" hidden="1">'Etapa8_Cobertura'!$A$1:$F$31</definedName>
    <definedName name="_xlnm._FilterDatabase" localSheetId="6" hidden="1">'Etapa9_Confronto'!$A$1:$J$31</definedName>
    <definedName name="_xlnm._FilterDatabase" localSheetId="7" hidden="1">'Etapa10_CT10'!$A$1:$L$2</definedName>
  </definedNames>
  <calcPr calcId="191029" fullCalcOnLoad="1" forceFullCalc="1"/>
</workbook>
</file>

<file path=xl/styles.xml><?xml version="1.0" encoding="utf-8"?>
<styleSheet xmlns="http://schemas.openxmlformats.org/spreadsheetml/2006/main">
  <numFmts count="1">
    <numFmt numFmtId="164" formatCode="dd/mm/yyyy"/>
  </numFmts>
  <fonts count="5">
    <font>
      <name val="Carlito"/>
      <sz val="11"/>
    </font>
    <font>
      <name val="Arial"/>
      <color rgb="FF183B4A"/>
      <sz val="10"/>
    </font>
    <font>
      <name val="Arial"/>
      <b val="1"/>
      <color rgb="FF152D38"/>
      <sz val="15"/>
    </font>
    <font>
      <name val="Arial"/>
      <b val="1"/>
      <color rgb="FFFFFFFF"/>
      <sz val="10"/>
    </font>
    <font>
      <name val="Arial"/>
      <i val="1"/>
      <color rgb="FF526A74"/>
      <sz val="10"/>
    </font>
  </fonts>
  <fills count="4">
    <fill>
      <patternFill/>
    </fill>
    <fill>
      <patternFill patternType="gray125"/>
    </fill>
    <fill>
      <patternFill patternType="solid">
        <fgColor rgb="FF244B5A"/>
      </patternFill>
    </fill>
    <fill>
      <patternFill patternType="solid">
        <fgColor rgb="FFFFF4CE"/>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etapa9-homologacao/README.md; MATRIZ-30.md; PARCIAIS-18.md; evidencias/ponte.json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CT11 oráculo60/40 e maior resto passa; multiobra continua pendente de ledger e teste integral. Quarentena multi_project_requires_ledger é preservada.</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validação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etapa9-homologacao/README.md; MATRIZ-30.md; PARCIAIS-18.md; evidencias/ponte.json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Extratos fixos independentes CT03/13/14/23/22/06/10:9 posições fecham no centavo; banco real/corte comum ausentes. Conciliação não cria dinheiro. CT03 custo ainda parcial.</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validação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etapa10-ct10/README.md; evidencias/comparacao-ct10.json; evidencias/execucoes.json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CT10: adiantamento integral pago é convertido em direito, não fica disponível para nova aplicação. Histórico/AP/banco preservados; demais cenários de adiantamento permanecem com pendências anteriores.</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etapa9-homologacao/README.md; MATRIZ-30.md; PARCIAIS-18.md; evidencias/ponte.json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CT06 conserva100.000 nos componentes; falta geração nativa pai/filhos, cobertura/custo e liberação condicionada. Não homologado integralmente.</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validação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etapa10-ct10/README.md; evidencias/comparacao-ct10.json; evidencias/execucoes.json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CT10 corrigido e conforme ao oráculo isolado: bruto10.000, restituição6.000, líquido4.000, direito4.000, custo/obrigação/reabertura0. Outros cancelamentos e aceite financeiro nominal pendentes.</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etapa9-homologacao/README.md; MATRIZ-30.md; PARCIAIS-18.md; evidencias/ponte.json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CT13/14: todos os campos fictícios passam com títulos, parciais, encargo, tarifa e extratos independentes. Dados reais/Auth/aceite nominal pendentes.</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etapa10-ct10/README.md; evidencias/comparacao-ct10.json; evidencias/execucoes.json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CT10 agora passa no caminho de restituição de fornecedor, sem venda fictícia/receita/AP reaberto. CT21/22 e demais pendências da tarefa continuam abertas.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etapa9-homologacao/README.md; MATRIZ-30.md; PARCIAIS-18.md; evidencias/ponte.json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CT13 coorte30%, vencido6.120, aberto86.120; CT22 futuro contratual60.000/I1880.000 ainda sem mapa operacional; não presumir valores.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etapa9-homologacao/README.md; MATRIZ-30.md; PARCIAIS-18.md; evidencias/ponte.json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Controles SQL preservados; cenário integral Auth/anexos/cache/exportações/IA/jobs ainda pendente.</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etapa10-ct10/README.md; evidencias/comparacao-ct10.json; evidencias/execucoes.json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CT10 conforme no banco/núcleo/tela isolados; outros29 estados da Etapa9 preservados. Não há homologação financeira global, conciliação real ou aceite nominal.</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Bloqueada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inlineStr">
        <is>
          <t>etapa10-ct10/README.md; evidencias/comparacao-ct10.json; evidencias/execucoes.json</t>
        </is>
      </c>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inlineStr">
        <is>
          <t>Nenhuma implantação autorizada. CT10 tecnicamente corrigido não resolve os16 parciais, fontes/cortes reais, parâmetros e aceites anteriores.</t>
        </is>
      </c>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c r="H15" s="29">
        <f>IF(AND(ISNUMBER(F15),ISNUMBER(G15)),G15-F15,"")</f>
        <v/>
      </c>
      <c r="I15" s="20">
        <f>IF(COUNTBLANK(G15)=1,"Não executado",IF(ISNUMBER(F15)&lt;&gt;ISNUMBER(G15),"Tipo incompatível",IF(IF(E15="&lt;&gt;",G15&lt;&gt;F15,G15=F15),IF(OR(J15="",K15="",NOT(ISNUMBER(L15)),L15&lt;=0),"Evidência pendente","Compatível"),"Divergente")))</f>
        <v/>
      </c>
      <c r="J15" s="23" t="str"/>
      <c r="K15" s="23" t="str"/>
      <c r="L15" s="31" t="n"/>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c r="H16" s="32">
        <f>IF(AND(ISNUMBER(F16),ISNUMBER(G16)),G16-F16,"")</f>
        <v/>
      </c>
      <c r="I16" s="16">
        <f>IF(COUNTBLANK(G16)=1,"Não executado",IF(ISNUMBER(F16)&lt;&gt;ISNUMBER(G16),"Tipo incompatível",IF(IF(E16="&lt;&gt;",G16&lt;&gt;F16,G16=F16),IF(OR(J16="",K16="",NOT(ISNUMBER(L16)),L16&lt;=0),"Evidência pendente","Compatível"),"Divergente")))</f>
        <v/>
      </c>
      <c r="J16" s="12" t="str"/>
      <c r="K16" s="12" t="str"/>
      <c r="L16" s="28" t="n"/>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c r="H17" s="32">
        <f>IF(AND(ISNUMBER(F17),ISNUMBER(G17)),G17-F17,"")</f>
        <v/>
      </c>
      <c r="I17" s="16">
        <f>IF(COUNTBLANK(G17)=1,"Não executado",IF(ISNUMBER(F17)&lt;&gt;ISNUMBER(G17),"Tipo incompatível",IF(IF(E17="&lt;&gt;",G17&lt;&gt;F17,G17=F17),IF(OR(J17="",K17="",NOT(ISNUMBER(L17)),L17&lt;=0),"Evidência pendente","Compatível"),"Divergente")))</f>
        <v/>
      </c>
      <c r="J17" s="12" t="str"/>
      <c r="K17" s="12" t="str"/>
      <c r="L17" s="28" t="n"/>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c r="H18" s="32">
        <f>IF(AND(ISNUMBER(F18),ISNUMBER(G18)),G18-F18,"")</f>
        <v/>
      </c>
      <c r="I18" s="16">
        <f>IF(COUNTBLANK(G18)=1,"Não executado",IF(ISNUMBER(F18)&lt;&gt;ISNUMBER(G18),"Tipo incompatível",IF(IF(E18="&lt;&gt;",G18&lt;&gt;F18,G18=F18),IF(OR(J18="",K18="",NOT(ISNUMBER(L18)),L18&lt;=0),"Evidência pendente","Compatível"),"Divergente")))</f>
        <v/>
      </c>
      <c r="J18" s="12" t="str"/>
      <c r="K18" s="12" t="str"/>
      <c r="L18" s="28" t="n"/>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c r="H19" s="32">
        <f>IF(AND(ISNUMBER(F19),ISNUMBER(G19)),G19-F19,"")</f>
        <v/>
      </c>
      <c r="I19" s="16">
        <f>IF(COUNTBLANK(G19)=1,"Não executado",IF(ISNUMBER(F19)&lt;&gt;ISNUMBER(G19),"Tipo incompatível",IF(IF(E19="&lt;&gt;",G19&lt;&gt;F19,G19=F19),IF(OR(J19="",K19="",NOT(ISNUMBER(L19)),L19&lt;=0),"Evidência pendente","Compatível"),"Divergente")))</f>
        <v/>
      </c>
      <c r="J19" s="12" t="str"/>
      <c r="K19" s="12" t="str"/>
      <c r="L19" s="28" t="n"/>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c r="H20" s="29">
        <f>IF(AND(ISNUMBER(F20),ISNUMBER(G20)),G20-F20,"")</f>
        <v/>
      </c>
      <c r="I20" s="20">
        <f>IF(COUNTBLANK(G20)=1,"Não executado",IF(ISNUMBER(F20)&lt;&gt;ISNUMBER(G20),"Tipo incompatível",IF(IF(E20="&lt;&gt;",G20&lt;&gt;F20,G20=F20),IF(OR(J20="",K20="",NOT(ISNUMBER(L20)),L20&lt;=0),"Evidência pendente","Compatível"),"Divergente")))</f>
        <v/>
      </c>
      <c r="J20" s="23" t="str"/>
      <c r="K20" s="23" t="str"/>
      <c r="L20" s="31" t="n"/>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c r="H21" s="32">
        <f>IF(AND(ISNUMBER(F21),ISNUMBER(G21)),G21-F21,"")</f>
        <v/>
      </c>
      <c r="I21" s="16">
        <f>IF(COUNTBLANK(G21)=1,"Não executado",IF(ISNUMBER(F21)&lt;&gt;ISNUMBER(G21),"Tipo incompatível",IF(IF(E21="&lt;&gt;",G21&lt;&gt;F21,G21=F21),IF(OR(J21="",K21="",NOT(ISNUMBER(L21)),L21&lt;=0),"Evidência pendente","Compatível"),"Divergente")))</f>
        <v/>
      </c>
      <c r="J21" s="12" t="str"/>
      <c r="K21" s="12" t="str"/>
      <c r="L21" s="28" t="n"/>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c r="H22" s="32">
        <f>IF(AND(ISNUMBER(F22),ISNUMBER(G22)),G22-F22,"")</f>
        <v/>
      </c>
      <c r="I22" s="16">
        <f>IF(COUNTBLANK(G22)=1,"Não executado",IF(ISNUMBER(F22)&lt;&gt;ISNUMBER(G22),"Tipo incompatível",IF(IF(E22="&lt;&gt;",G22&lt;&gt;F22,G22=F22),IF(OR(J22="",K22="",NOT(ISNUMBER(L22)),L22&lt;=0),"Evidência pendente","Compatível"),"Divergente")))</f>
        <v/>
      </c>
      <c r="J22" s="12" t="str"/>
      <c r="K22" s="12" t="str"/>
      <c r="L22" s="28" t="n"/>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c r="H23" s="32">
        <f>IF(AND(ISNUMBER(F23),ISNUMBER(G23)),G23-F23,"")</f>
        <v/>
      </c>
      <c r="I23" s="16">
        <f>IF(COUNTBLANK(G23)=1,"Não executado",IF(ISNUMBER(F23)&lt;&gt;ISNUMBER(G23),"Tipo incompatível",IF(IF(E23="&lt;&gt;",G23&lt;&gt;F23,G23=F23),IF(OR(J23="",K23="",NOT(ISNUMBER(L23)),L23&lt;=0),"Evidência pendente","Compatível"),"Divergente")))</f>
        <v/>
      </c>
      <c r="J23" s="12" t="str"/>
      <c r="K23" s="12" t="str"/>
      <c r="L23" s="28" t="n"/>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c r="H24" s="32">
        <f>IF(AND(ISNUMBER(F24),ISNUMBER(G24)),G24-F24,"")</f>
        <v/>
      </c>
      <c r="I24" s="16">
        <f>IF(COUNTBLANK(G24)=1,"Não executado",IF(ISNUMBER(F24)&lt;&gt;ISNUMBER(G24),"Tipo incompatível",IF(IF(E24="&lt;&gt;",G24&lt;&gt;F24,G24=F24),IF(OR(J24="",K24="",NOT(ISNUMBER(L24)),L24&lt;=0),"Evidência pendente","Compatível"),"Divergente")))</f>
        <v/>
      </c>
      <c r="J24" s="12" t="str"/>
      <c r="K24" s="12" t="str"/>
      <c r="L24" s="28" t="n"/>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c r="H25" s="32">
        <f>IF(AND(ISNUMBER(F25),ISNUMBER(G25)),G25-F25,"")</f>
        <v/>
      </c>
      <c r="I25" s="16">
        <f>IF(COUNTBLANK(G25)=1,"Não executado",IF(ISNUMBER(F25)&lt;&gt;ISNUMBER(G25),"Tipo incompatível",IF(IF(E25="&lt;&gt;",G25&lt;&gt;F25,G25=F25),IF(OR(J25="",K25="",NOT(ISNUMBER(L25)),L25&lt;=0),"Evidência pendente","Compatível"),"Divergente")))</f>
        <v/>
      </c>
      <c r="J25" s="12" t="str"/>
      <c r="K25" s="12" t="str"/>
      <c r="L25" s="28" t="n"/>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c r="H26" s="32">
        <f>IF(AND(ISNUMBER(F26),ISNUMBER(G26)),G26-F26,"")</f>
        <v/>
      </c>
      <c r="I26" s="16">
        <f>IF(COUNTBLANK(G26)=1,"Não executado",IF(ISNUMBER(F26)&lt;&gt;ISNUMBER(G26),"Tipo incompatível",IF(IF(E26="&lt;&gt;",G26&lt;&gt;F26,G26=F26),IF(OR(J26="",K26="",NOT(ISNUMBER(L26)),L26&lt;=0),"Evidência pendente","Compatível"),"Divergente")))</f>
        <v/>
      </c>
      <c r="J26" s="12" t="str"/>
      <c r="K26" s="12" t="str"/>
      <c r="L26" s="28" t="n"/>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v>0</v>
      </c>
      <c r="H118" s="29">
        <f>IF(AND(ISNUMBER(F118),ISNUMBER(G118)),G118-F118,"")</f>
        <v/>
      </c>
      <c r="I118" s="20">
        <f>IF(COUNTBLANK(G118)=1,"Não executado",IF(ISNUMBER(F118)&lt;&gt;ISNUMBER(G118),"Tipo incompatível",IF(IF(E118="&lt;&gt;",G118&lt;&gt;F118,G118=F118),IF(OR(J118="",K118="",NOT(ISNUMBER(L118)),L118&lt;=0),"Evidência pendente","Compatível"),"Divergente")))</f>
        <v/>
      </c>
      <c r="J118" s="23" t="inlineStr">
        <is>
          <t>etapa10-ct10/evidencias/comparacao-ct10.json; banco.json; registros-ct10.json — massa fictícia; sem aceite financeiro</t>
        </is>
      </c>
      <c r="K118" s="23" t="inlineStr">
        <is>
          <t>Codex — execução automatizada isolada, não responsável financeiro</t>
        </is>
      </c>
      <c r="L118" s="31" t="n">
        <v>46317.48563835648</v>
      </c>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v>0</v>
      </c>
      <c r="H119" s="32">
        <f>IF(AND(ISNUMBER(F119),ISNUMBER(G119)),G119-F119,"")</f>
        <v/>
      </c>
      <c r="I119" s="16">
        <f>IF(COUNTBLANK(G119)=1,"Não executado",IF(ISNUMBER(F119)&lt;&gt;ISNUMBER(G119),"Tipo incompatível",IF(IF(E119="&lt;&gt;",G119&lt;&gt;F119,G119=F119),IF(OR(J119="",K119="",NOT(ISNUMBER(L119)),L119&lt;=0),"Evidência pendente","Compatível"),"Divergente")))</f>
        <v/>
      </c>
      <c r="J119" s="12" t="inlineStr">
        <is>
          <t>etapa10-ct10/evidencias/comparacao-ct10.json; banco.json; registros-ct10.json — massa fictícia; sem aceite financeiro</t>
        </is>
      </c>
      <c r="K119" s="12" t="inlineStr">
        <is>
          <t>Codex — execução automatizada isolada, não responsável financeiro</t>
        </is>
      </c>
      <c r="L119" s="28" t="n">
        <v>46317.48563835648</v>
      </c>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v>0</v>
      </c>
      <c r="H120" s="32">
        <f>IF(AND(ISNUMBER(F120),ISNUMBER(G120)),G120-F120,"")</f>
        <v/>
      </c>
      <c r="I120" s="16">
        <f>IF(COUNTBLANK(G120)=1,"Não executado",IF(ISNUMBER(F120)&lt;&gt;ISNUMBER(G120),"Tipo incompatível",IF(IF(E120="&lt;&gt;",G120&lt;&gt;F120,G120=F120),IF(OR(J120="",K120="",NOT(ISNUMBER(L120)),L120&lt;=0),"Evidência pendente","Compatível"),"Divergente")))</f>
        <v/>
      </c>
      <c r="J120" s="12" t="inlineStr">
        <is>
          <t>etapa10-ct10/evidencias/comparacao-ct10.json; banco.json; registros-ct10.json — massa fictícia; sem aceite financeiro</t>
        </is>
      </c>
      <c r="K120" s="12" t="inlineStr">
        <is>
          <t>Codex — execução automatizada isolada, não responsável financeiro</t>
        </is>
      </c>
      <c r="L120" s="28" t="n">
        <v>46317.48563835648</v>
      </c>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v>0</v>
      </c>
      <c r="H121" s="32">
        <f>IF(AND(ISNUMBER(F121),ISNUMBER(G121)),G121-F121,"")</f>
        <v/>
      </c>
      <c r="I121" s="16">
        <f>IF(COUNTBLANK(G121)=1,"Não executado",IF(ISNUMBER(F121)&lt;&gt;ISNUMBER(G121),"Tipo incompatível",IF(IF(E121="&lt;&gt;",G121&lt;&gt;F121,G121=F121),IF(OR(J121="",K121="",NOT(ISNUMBER(L121)),L121&lt;=0),"Evidência pendente","Compatível"),"Divergente")))</f>
        <v/>
      </c>
      <c r="J121" s="12" t="inlineStr">
        <is>
          <t>etapa10-ct10/evidencias/comparacao-ct10.json; banco.json; registros-ct10.json — massa fictícia; sem aceite financeiro</t>
        </is>
      </c>
      <c r="K121" s="12" t="inlineStr">
        <is>
          <t>Codex — execução automatizada isolada, não responsável financeiro</t>
        </is>
      </c>
      <c r="L121" s="28" t="n">
        <v>46317.48563835648</v>
      </c>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v>0</v>
      </c>
      <c r="H122" s="32">
        <f>IF(AND(ISNUMBER(F122),ISNUMBER(G122)),G122-F122,"")</f>
        <v/>
      </c>
      <c r="I122" s="16">
        <f>IF(COUNTBLANK(G122)=1,"Não executado",IF(ISNUMBER(F122)&lt;&gt;ISNUMBER(G122),"Tipo incompatível",IF(IF(E122="&lt;&gt;",G122&lt;&gt;F122,G122=F122),IF(OR(J122="",K122="",NOT(ISNUMBER(L122)),L122&lt;=0),"Evidência pendente","Compatível"),"Divergente")))</f>
        <v/>
      </c>
      <c r="J122" s="12" t="inlineStr">
        <is>
          <t>etapa10-ct10/evidencias/comparacao-ct10.json; banco.json; registros-ct10.json — massa fictícia; sem aceite financeiro</t>
        </is>
      </c>
      <c r="K122" s="12" t="inlineStr">
        <is>
          <t>Codex — execução automatizada isolada, não responsável financeiro</t>
        </is>
      </c>
      <c r="L122" s="28" t="n">
        <v>46317.48563835648</v>
      </c>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v>1000000</v>
      </c>
      <c r="H123" s="32">
        <f>IF(AND(ISNUMBER(F123),ISNUMBER(G123)),G123-F123,"")</f>
        <v/>
      </c>
      <c r="I123" s="16">
        <f>IF(COUNTBLANK(G123)=1,"Não executado",IF(ISNUMBER(F123)&lt;&gt;ISNUMBER(G123),"Tipo incompatível",IF(IF(E123="&lt;&gt;",G123&lt;&gt;F123,G123=F123),IF(OR(J123="",K123="",NOT(ISNUMBER(L123)),L123&lt;=0),"Evidência pendente","Compatível"),"Divergente")))</f>
        <v/>
      </c>
      <c r="J123" s="12" t="inlineStr">
        <is>
          <t>etapa10-ct10/evidencias/comparacao-ct10.json; banco.json; registros-ct10.json — massa fictícia; sem aceite financeiro</t>
        </is>
      </c>
      <c r="K123" s="12" t="inlineStr">
        <is>
          <t>Codex — execução automatizada isolada, não responsável financeiro</t>
        </is>
      </c>
      <c r="L123" s="28" t="n">
        <v>46317.48563835648</v>
      </c>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v>400000</v>
      </c>
      <c r="H124" s="32">
        <f>IF(AND(ISNUMBER(F124),ISNUMBER(G124)),G124-F124,"")</f>
        <v/>
      </c>
      <c r="I124" s="16">
        <f>IF(COUNTBLANK(G124)=1,"Não executado",IF(ISNUMBER(F124)&lt;&gt;ISNUMBER(G124),"Tipo incompatível",IF(IF(E124="&lt;&gt;",G124&lt;&gt;F124,G124=F124),IF(OR(J124="",K124="",NOT(ISNUMBER(L124)),L124&lt;=0),"Evidência pendente","Compatível"),"Divergente")))</f>
        <v/>
      </c>
      <c r="J124" s="12" t="inlineStr">
        <is>
          <t>etapa10-ct10/evidencias/comparacao-ct10.json; banco.json; registros-ct10.json — massa fictícia; sem aceite financeiro</t>
        </is>
      </c>
      <c r="K124" s="12" t="inlineStr">
        <is>
          <t>Codex — execução automatizada isolada, não responsável financeiro</t>
        </is>
      </c>
      <c r="L124" s="28" t="n">
        <v>46317.48563835648</v>
      </c>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v>1000000</v>
      </c>
      <c r="H125" s="32">
        <f>IF(AND(ISNUMBER(F125),ISNUMBER(G125)),G125-F125,"")</f>
        <v/>
      </c>
      <c r="I125" s="16">
        <f>IF(COUNTBLANK(G125)=1,"Não executado",IF(ISNUMBER(F125)&lt;&gt;ISNUMBER(G125),"Tipo incompatível",IF(IF(E125="&lt;&gt;",G125&lt;&gt;F125,G125=F125),IF(OR(J125="",K125="",NOT(ISNUMBER(L125)),L125&lt;=0),"Evidência pendente","Compatível"),"Divergente")))</f>
        <v/>
      </c>
      <c r="J125" s="12" t="inlineStr">
        <is>
          <t>etapa10-ct10/evidencias/comparacao-ct10.json; banco.json; registros-ct10.json — massa fictícia; sem aceite financeiro</t>
        </is>
      </c>
      <c r="K125" s="12" t="inlineStr">
        <is>
          <t>Codex — execução automatizada isolada, não responsável financeiro</t>
        </is>
      </c>
      <c r="L125" s="28" t="n">
        <v>46317.48563835648</v>
      </c>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v>600000</v>
      </c>
      <c r="H126" s="32">
        <f>IF(AND(ISNUMBER(F126),ISNUMBER(G126)),G126-F126,"")</f>
        <v/>
      </c>
      <c r="I126" s="16">
        <f>IF(COUNTBLANK(G126)=1,"Não executado",IF(ISNUMBER(F126)&lt;&gt;ISNUMBER(G126),"Tipo incompatível",IF(IF(E126="&lt;&gt;",G126&lt;&gt;F126,G126=F126),IF(OR(J126="",K126="",NOT(ISNUMBER(L126)),L126&lt;=0),"Evidência pendente","Compatível"),"Divergente")))</f>
        <v/>
      </c>
      <c r="J126" s="12" t="inlineStr">
        <is>
          <t>etapa10-ct10/evidencias/comparacao-ct10.json; banco.json; registros-ct10.json — massa fictícia; sem aceite financeiro</t>
        </is>
      </c>
      <c r="K126" s="12" t="inlineStr">
        <is>
          <t>Codex — execução automatizada isolada, não responsável financeiro</t>
        </is>
      </c>
      <c r="L126" s="28" t="n">
        <v>46317.48563835648</v>
      </c>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v>400000</v>
      </c>
      <c r="H127" s="32">
        <f>IF(AND(ISNUMBER(F127),ISNUMBER(G127)),G127-F127,"")</f>
        <v/>
      </c>
      <c r="I127" s="16">
        <f>IF(COUNTBLANK(G127)=1,"Não executado",IF(ISNUMBER(F127)&lt;&gt;ISNUMBER(G127),"Tipo incompatível",IF(IF(E127="&lt;&gt;",G127&lt;&gt;F127,G127=F127),IF(OR(J127="",K127="",NOT(ISNUMBER(L127)),L127&lt;=0),"Evidência pendente","Compatível"),"Divergente")))</f>
        <v/>
      </c>
      <c r="J127" s="12" t="inlineStr">
        <is>
          <t>etapa10-ct10/evidencias/comparacao-ct10.json; banco.json; registros-ct10.json — massa fictícia; sem aceite financeiro</t>
        </is>
      </c>
      <c r="K127" s="12" t="inlineStr">
        <is>
          <t>Codex — execução automatizada isolada, não responsável financeiro</t>
        </is>
      </c>
      <c r="L127" s="28" t="n">
        <v>46317.48563835648</v>
      </c>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v>0</v>
      </c>
      <c r="H128" s="32">
        <f>IF(AND(ISNUMBER(F128),ISNUMBER(G128)),G128-F128,"")</f>
        <v/>
      </c>
      <c r="I128" s="16">
        <f>IF(COUNTBLANK(G128)=1,"Não executado",IF(ISNUMBER(F128)&lt;&gt;ISNUMBER(G128),"Tipo incompatível",IF(IF(E128="&lt;&gt;",G128&lt;&gt;F128,G128=F128),IF(OR(J128="",K128="",NOT(ISNUMBER(L128)),L128&lt;=0),"Evidência pendente","Compatível"),"Divergente")))</f>
        <v/>
      </c>
      <c r="J128" s="12" t="inlineStr">
        <is>
          <t>etapa10-ct10/evidencias/comparacao-ct10.json; banco.json; registros-ct10.json — massa fictícia; sem aceite financeiro</t>
        </is>
      </c>
      <c r="K128" s="12" t="inlineStr">
        <is>
          <t>Codex — execução automatizada isolada, não responsável financeiro</t>
        </is>
      </c>
      <c r="L128" s="28" t="n">
        <v>46317.48563835648</v>
      </c>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v>2000000</v>
      </c>
      <c r="H153" s="29">
        <f>IF(AND(ISNUMBER(F153),ISNUMBER(G153)),G153-F153,"")</f>
        <v/>
      </c>
      <c r="I153" s="20">
        <f>IF(COUNTBLANK(G153)=1,"Não executado",IF(ISNUMBER(F153)&lt;&gt;ISNUMBER(G153),"Tipo incompatível",IF(IF(E153="&lt;&gt;",G153&lt;&gt;F153,G153=F153),IF(OR(J153="",K153="",NOT(ISNUMBER(L153)),L153&lt;=0),"Evidência pendente","Compatível"),"Divergente")))</f>
        <v/>
      </c>
      <c r="J153" s="23" t="inlineStr">
        <is>
          <t>etapa9-homologacao/evidencias/comparacao-novos-integrais.json; banco.json; extratos-referencia.json — isolamento; sem aceite financeiro</t>
        </is>
      </c>
      <c r="K153" s="23" t="inlineStr">
        <is>
          <t>Codex — observação automatizada isolada, não responsável financeiro</t>
        </is>
      </c>
      <c r="L153" s="31" t="n">
        <v>46317.45682456018</v>
      </c>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v>600000</v>
      </c>
      <c r="H154" s="32">
        <f>IF(AND(ISNUMBER(F154),ISNUMBER(G154)),G154-F154,"")</f>
        <v/>
      </c>
      <c r="I154" s="16">
        <f>IF(COUNTBLANK(G154)=1,"Não executado",IF(ISNUMBER(F154)&lt;&gt;ISNUMBER(G154),"Tipo incompatível",IF(IF(E154="&lt;&gt;",G154&lt;&gt;F154,G154=F154),IF(OR(J154="",K154="",NOT(ISNUMBER(L154)),L154&lt;=0),"Evidência pendente","Compatível"),"Divergente")))</f>
        <v/>
      </c>
      <c r="J154" s="12" t="inlineStr">
        <is>
          <t>etapa9-homologacao/evidencias/comparacao-novos-integrais.json; banco.json; extratos-referencia.json — isolamento; sem aceite financeiro</t>
        </is>
      </c>
      <c r="K154" s="12" t="inlineStr">
        <is>
          <t>Codex — observação automatizada isolada, não responsável financeiro</t>
        </is>
      </c>
      <c r="L154" s="28" t="n">
        <v>46317.45682456018</v>
      </c>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v>612000</v>
      </c>
      <c r="H155" s="32">
        <f>IF(AND(ISNUMBER(F155),ISNUMBER(G155)),G155-F155,"")</f>
        <v/>
      </c>
      <c r="I155" s="16">
        <f>IF(COUNTBLANK(G155)=1,"Não executado",IF(ISNUMBER(F155)&lt;&gt;ISNUMBER(G155),"Tipo incompatível",IF(IF(E155="&lt;&gt;",G155&lt;&gt;F155,G155=F155),IF(OR(J155="",K155="",NOT(ISNUMBER(L155)),L155&lt;=0),"Evidência pendente","Compatível"),"Divergente")))</f>
        <v/>
      </c>
      <c r="J155" s="12" t="inlineStr">
        <is>
          <t>etapa9-homologacao/evidencias/comparacao-novos-integrais.json; banco.json; extratos-referencia.json — isolamento; sem aceite financeiro</t>
        </is>
      </c>
      <c r="K155" s="12" t="inlineStr">
        <is>
          <t>Codex — observação automatizada isolada, não responsável financeiro</t>
        </is>
      </c>
      <c r="L155" s="28" t="n">
        <v>46317.45682456018</v>
      </c>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v>8612000</v>
      </c>
      <c r="H156" s="32">
        <f>IF(AND(ISNUMBER(F156),ISNUMBER(G156)),G156-F156,"")</f>
        <v/>
      </c>
      <c r="I156" s="16">
        <f>IF(COUNTBLANK(G156)=1,"Não executado",IF(ISNUMBER(F156)&lt;&gt;ISNUMBER(G156),"Tipo incompatível",IF(IF(E156="&lt;&gt;",G156&lt;&gt;F156,G156=F156),IF(OR(J156="",K156="",NOT(ISNUMBER(L156)),L156&lt;=0),"Evidência pendente","Compatível"),"Divergente")))</f>
        <v/>
      </c>
      <c r="J156" s="12" t="inlineStr">
        <is>
          <t>etapa9-homologacao/evidencias/comparacao-novos-integrais.json; banco.json; extratos-referencia.json — isolamento; sem aceite financeiro</t>
        </is>
      </c>
      <c r="K156" s="12" t="inlineStr">
        <is>
          <t>Codex — observação automatizada isolada, não responsável financeiro</t>
        </is>
      </c>
      <c r="L156" s="28" t="n">
        <v>46317.45682456018</v>
      </c>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v>1400000</v>
      </c>
      <c r="H157" s="32">
        <f>IF(AND(ISNUMBER(F157),ISNUMBER(G157)),G157-F157,"")</f>
        <v/>
      </c>
      <c r="I157" s="16">
        <f>IF(COUNTBLANK(G157)=1,"Não executado",IF(ISNUMBER(F157)&lt;&gt;ISNUMBER(G157),"Tipo incompatível",IF(IF(E157="&lt;&gt;",G157&lt;&gt;F157,G157=F157),IF(OR(J157="",K157="",NOT(ISNUMBER(L157)),L157&lt;=0),"Evidência pendente","Compatível"),"Divergente")))</f>
        <v/>
      </c>
      <c r="J157" s="12" t="inlineStr">
        <is>
          <t>etapa9-homologacao/evidencias/comparacao-novos-integrais.json; banco.json; extratos-referencia.json — isolamento; sem aceite financeiro</t>
        </is>
      </c>
      <c r="K157" s="12" t="inlineStr">
        <is>
          <t>Codex — observação automatizada isolada, não responsável financeiro</t>
        </is>
      </c>
      <c r="L157" s="28" t="n">
        <v>46317.45682456018</v>
      </c>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v>30</v>
      </c>
      <c r="H158" s="34">
        <f>IF(AND(ISNUMBER(F158),ISNUMBER(G158)),G158-F158,"")</f>
        <v/>
      </c>
      <c r="I158" s="16">
        <f>IF(COUNTBLANK(G158)=1,"Não executado",IF(ISNUMBER(F158)&lt;&gt;ISNUMBER(G158),"Tipo incompatível",IF(IF(E158="&lt;&gt;",G158&lt;&gt;F158,G158=F158),IF(OR(J158="",K158="",NOT(ISNUMBER(L158)),L158&lt;=0),"Evidência pendente","Compatível"),"Divergente")))</f>
        <v/>
      </c>
      <c r="J158" s="12" t="inlineStr">
        <is>
          <t>etapa9-homologacao/evidencias/comparacao-novos-integrais.json; banco.json; extratos-referencia.json — isolamento; sem aceite financeiro</t>
        </is>
      </c>
      <c r="K158" s="12" t="inlineStr">
        <is>
          <t>Codex — observação automatizada isolada, não responsável financeiro</t>
        </is>
      </c>
      <c r="L158" s="28" t="n">
        <v>46317.45682456018</v>
      </c>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v>1000000</v>
      </c>
      <c r="H159" s="29">
        <f>IF(AND(ISNUMBER(F159),ISNUMBER(G159)),G159-F159,"")</f>
        <v/>
      </c>
      <c r="I159" s="20">
        <f>IF(COUNTBLANK(G159)=1,"Não executado",IF(ISNUMBER(F159)&lt;&gt;ISNUMBER(G159),"Tipo incompatível",IF(IF(E159="&lt;&gt;",G159&lt;&gt;F159,G159=F159),IF(OR(J159="",K159="",NOT(ISNUMBER(L159)),L159&lt;=0),"Evidência pendente","Compatível"),"Divergente")))</f>
        <v/>
      </c>
      <c r="J159" s="23" t="inlineStr">
        <is>
          <t>etapa9-homologacao/evidencias/comparacao-novos-integrais.json; banco.json; extratos-referencia.json — isolamento; sem aceite financeiro</t>
        </is>
      </c>
      <c r="K159" s="23" t="inlineStr">
        <is>
          <t>Codex — observação automatizada isolada, não responsável financeiro</t>
        </is>
      </c>
      <c r="L159" s="31" t="n">
        <v>46317.45682456018</v>
      </c>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v>0</v>
      </c>
      <c r="H160" s="32">
        <f>IF(AND(ISNUMBER(F160),ISNUMBER(G160)),G160-F160,"")</f>
        <v/>
      </c>
      <c r="I160" s="16">
        <f>IF(COUNTBLANK(G160)=1,"Não executado",IF(ISNUMBER(F160)&lt;&gt;ISNUMBER(G160),"Tipo incompatível",IF(IF(E160="&lt;&gt;",G160&lt;&gt;F160,G160=F160),IF(OR(J160="",K160="",NOT(ISNUMBER(L160)),L160&lt;=0),"Evidência pendente","Compatível"),"Divergente")))</f>
        <v/>
      </c>
      <c r="J160" s="12" t="inlineStr">
        <is>
          <t>etapa9-homologacao/evidencias/comparacao-novos-integrais.json; banco.json; extratos-referencia.json — isolamento; sem aceite financeiro</t>
        </is>
      </c>
      <c r="K160" s="12" t="inlineStr">
        <is>
          <t>Codex — observação automatizada isolada, não responsável financeiro</t>
        </is>
      </c>
      <c r="L160" s="28" t="n">
        <v>46317.45682456018</v>
      </c>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v>980000</v>
      </c>
      <c r="H161" s="32">
        <f>IF(AND(ISNUMBER(F161),ISNUMBER(G161)),G161-F161,"")</f>
        <v/>
      </c>
      <c r="I161" s="16">
        <f>IF(COUNTBLANK(G161)=1,"Não executado",IF(ISNUMBER(F161)&lt;&gt;ISNUMBER(G161),"Tipo incompatível",IF(IF(E161="&lt;&gt;",G161&lt;&gt;F161,G161=F161),IF(OR(J161="",K161="",NOT(ISNUMBER(L161)),L161&lt;=0),"Evidência pendente","Compatível"),"Divergente")))</f>
        <v/>
      </c>
      <c r="J161" s="12" t="inlineStr">
        <is>
          <t>etapa9-homologacao/evidencias/comparacao-novos-integrais.json; banco.json; extratos-referencia.json — isolamento; sem aceite financeiro</t>
        </is>
      </c>
      <c r="K161" s="12" t="inlineStr">
        <is>
          <t>Codex — observação automatizada isolada, não responsável financeiro</t>
        </is>
      </c>
      <c r="L161" s="28" t="n">
        <v>46317.45682456018</v>
      </c>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v>20000</v>
      </c>
      <c r="H162" s="32">
        <f>IF(AND(ISNUMBER(F162),ISNUMBER(G162)),G162-F162,"")</f>
        <v/>
      </c>
      <c r="I162" s="16">
        <f>IF(COUNTBLANK(G162)=1,"Não executado",IF(ISNUMBER(F162)&lt;&gt;ISNUMBER(G162),"Tipo incompatível",IF(IF(E162="&lt;&gt;",G162&lt;&gt;F162,G162=F162),IF(OR(J162="",K162="",NOT(ISNUMBER(L162)),L162&lt;=0),"Evidência pendente","Compatível"),"Divergente")))</f>
        <v/>
      </c>
      <c r="J162" s="12" t="inlineStr">
        <is>
          <t>etapa9-homologacao/evidencias/comparacao-novos-integrais.json; banco.json; extratos-referencia.json — isolamento; sem aceite financeiro</t>
        </is>
      </c>
      <c r="K162" s="12" t="inlineStr">
        <is>
          <t>Codex — observação automatizada isolada, não responsável financeiro</t>
        </is>
      </c>
      <c r="L162" s="28" t="n">
        <v>46317.45682456018</v>
      </c>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v>0</v>
      </c>
      <c r="H163" s="32">
        <f>IF(AND(ISNUMBER(F163),ISNUMBER(G163)),G163-F163,"")</f>
        <v/>
      </c>
      <c r="I163" s="16">
        <f>IF(COUNTBLANK(G163)=1,"Não executado",IF(ISNUMBER(F163)&lt;&gt;ISNUMBER(G163),"Tipo incompatível",IF(IF(E163="&lt;&gt;",G163&lt;&gt;F163,G163=F163),IF(OR(J163="",K163="",NOT(ISNUMBER(L163)),L163&lt;=0),"Evidência pendente","Compatível"),"Divergente")))</f>
        <v/>
      </c>
      <c r="J163" s="12" t="inlineStr">
        <is>
          <t>etapa9-homologacao/evidencias/comparacao-novos-integrais.json; banco.json; extratos-referencia.json — isolamento; sem aceite financeiro</t>
        </is>
      </c>
      <c r="K163" s="12" t="inlineStr">
        <is>
          <t>Codex — observação automatizada isolada, não responsável financeiro</t>
        </is>
      </c>
      <c r="L163" s="28" t="n">
        <v>46317.45682456018</v>
      </c>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v>10000000</v>
      </c>
      <c r="H164" s="32">
        <f>IF(AND(ISNUMBER(F164),ISNUMBER(G164)),G164-F164,"")</f>
        <v/>
      </c>
      <c r="I164" s="16">
        <f>IF(COUNTBLANK(G164)=1,"Não executado",IF(ISNUMBER(F164)&lt;&gt;ISNUMBER(G164),"Tipo incompatível",IF(IF(E164="&lt;&gt;",G164&lt;&gt;F164,G164=F164),IF(OR(J164="",K164="",NOT(ISNUMBER(L164)),L164&lt;=0),"Evidência pendente","Compatível"),"Divergente")))</f>
        <v/>
      </c>
      <c r="J164" s="12" t="inlineStr">
        <is>
          <t>etapa9-homologacao/evidencias/comparacao-novos-integrais.json; banco.json; extratos-referencia.json — isolamento; sem aceite financeiro</t>
        </is>
      </c>
      <c r="K164" s="12" t="inlineStr">
        <is>
          <t>Codex — observação automatizada isolada, não responsável financeiro</t>
        </is>
      </c>
      <c r="L164" s="28" t="n">
        <v>46317.45682456018</v>
      </c>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v>0</v>
      </c>
      <c r="H165" s="32">
        <f>IF(AND(ISNUMBER(F165),ISNUMBER(G165)),G165-F165,"")</f>
        <v/>
      </c>
      <c r="I165" s="16">
        <f>IF(COUNTBLANK(G165)=1,"Não executado",IF(ISNUMBER(F165)&lt;&gt;ISNUMBER(G165),"Tipo incompatível",IF(IF(E165="&lt;&gt;",G165&lt;&gt;F165,G165=F165),IF(OR(J165="",K165="",NOT(ISNUMBER(L165)),L165&lt;=0),"Evidência pendente","Compatível"),"Divergente")))</f>
        <v/>
      </c>
      <c r="J165" s="12" t="inlineStr">
        <is>
          <t>etapa9-homologacao/evidencias/comparacao-novos-integrais.json; banco.json; extratos-referencia.json — isolamento; sem aceite financeiro</t>
        </is>
      </c>
      <c r="K165" s="12" t="inlineStr">
        <is>
          <t>Codex — observação automatizada isolada, não responsável financeiro</t>
        </is>
      </c>
      <c r="L165" s="28" t="n">
        <v>46317.45682456018</v>
      </c>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v>3000000</v>
      </c>
      <c r="H166" s="32">
        <f>IF(AND(ISNUMBER(F166),ISNUMBER(G166)),G166-F166,"")</f>
        <v/>
      </c>
      <c r="I166" s="16">
        <f>IF(COUNTBLANK(G166)=1,"Não executado",IF(ISNUMBER(F166)&lt;&gt;ISNUMBER(G166),"Tipo incompatível",IF(IF(E166="&lt;&gt;",G166&lt;&gt;F166,G166=F166),IF(OR(J166="",K166="",NOT(ISNUMBER(L166)),L166&lt;=0),"Evidência pendente","Compatível"),"Divergente")))</f>
        <v/>
      </c>
      <c r="J166" s="12" t="inlineStr">
        <is>
          <t>etapa9-homologacao/evidencias/comparacao-novos-integrais.json; banco.json; extratos-referencia.json — isolamento; sem aceite financeiro</t>
        </is>
      </c>
      <c r="K166" s="12" t="inlineStr">
        <is>
          <t>Codex — observação automatizada isolada, não responsável financeiro</t>
        </is>
      </c>
      <c r="L166" s="28" t="n">
        <v>46317.45682456018</v>
      </c>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v>7000000</v>
      </c>
      <c r="H167" s="32">
        <f>IF(AND(ISNUMBER(F167),ISNUMBER(G167)),G167-F167,"")</f>
        <v/>
      </c>
      <c r="I167" s="16">
        <f>IF(COUNTBLANK(G167)=1,"Não executado",IF(ISNUMBER(F167)&lt;&gt;ISNUMBER(G167),"Tipo incompatível",IF(IF(E167="&lt;&gt;",G167&lt;&gt;F167,G167=F167),IF(OR(J167="",K167="",NOT(ISNUMBER(L167)),L167&lt;=0),"Evidência pendente","Compatível"),"Divergente")))</f>
        <v/>
      </c>
      <c r="J167" s="12" t="inlineStr">
        <is>
          <t>etapa9-homologacao/evidencias/comparacao-novos-integrais.json; banco.json; extratos-referencia.json — isolamento; sem aceite financeiro</t>
        </is>
      </c>
      <c r="K167" s="12" t="inlineStr">
        <is>
          <t>Codex — observação automatizada isolada, não responsável financeiro</t>
        </is>
      </c>
      <c r="L167" s="28" t="n">
        <v>46317.45682456018</v>
      </c>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c r="H214" s="29">
        <f>IF(AND(ISNUMBER(F214),ISNUMBER(G214)),G214-F214,"")</f>
        <v/>
      </c>
      <c r="I214" s="20">
        <f>IF(COUNTBLANK(G214)=1,"Não executado",IF(ISNUMBER(F214)&lt;&gt;ISNUMBER(G214),"Tipo incompatível",IF(IF(E214="&lt;&gt;",G214&lt;&gt;F214,G214=F214),IF(OR(J214="",K214="",NOT(ISNUMBER(L214)),L214&lt;=0),"Evidência pendente","Compatível"),"Divergente")))</f>
        <v/>
      </c>
      <c r="J214" s="23" t="str"/>
      <c r="K214" s="23" t="str"/>
      <c r="L214" s="31" t="n"/>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c r="H215" s="32">
        <f>IF(AND(ISNUMBER(F215),ISNUMBER(G215)),G215-F215,"")</f>
        <v/>
      </c>
      <c r="I215" s="16">
        <f>IF(COUNTBLANK(G215)=1,"Não executado",IF(ISNUMBER(F215)&lt;&gt;ISNUMBER(G215),"Tipo incompatível",IF(IF(E215="&lt;&gt;",G215&lt;&gt;F215,G215=F215),IF(OR(J215="",K215="",NOT(ISNUMBER(L215)),L215&lt;=0),"Evidência pendente","Compatível"),"Divergente")))</f>
        <v/>
      </c>
      <c r="J215" s="12" t="str"/>
      <c r="K215" s="12" t="str"/>
      <c r="L215" s="28" t="n"/>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c r="H216" s="32">
        <f>IF(AND(ISNUMBER(F216),ISNUMBER(G216)),G216-F216,"")</f>
        <v/>
      </c>
      <c r="I216" s="16">
        <f>IF(COUNTBLANK(G216)=1,"Não executado",IF(ISNUMBER(F216)&lt;&gt;ISNUMBER(G216),"Tipo incompatível",IF(IF(E216="&lt;&gt;",G216&lt;&gt;F216,G216=F216),IF(OR(J216="",K216="",NOT(ISNUMBER(L216)),L216&lt;=0),"Evidência pendente","Compatível"),"Divergente")))</f>
        <v/>
      </c>
      <c r="J216" s="12" t="str"/>
      <c r="K216" s="12" t="str"/>
      <c r="L216" s="28" t="n"/>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c r="H217" s="32">
        <f>IF(AND(ISNUMBER(F217),ISNUMBER(G217)),G217-F217,"")</f>
        <v/>
      </c>
      <c r="I217" s="16">
        <f>IF(COUNTBLANK(G217)=1,"Não executado",IF(ISNUMBER(F217)&lt;&gt;ISNUMBER(G217),"Tipo incompatível",IF(IF(E217="&lt;&gt;",G217&lt;&gt;F217,G217=F217),IF(OR(J217="",K217="",NOT(ISNUMBER(L217)),L217&lt;=0),"Evidência pendente","Compatível"),"Divergente")))</f>
        <v/>
      </c>
      <c r="J217" s="12" t="str"/>
      <c r="K217" s="12" t="str"/>
      <c r="L217" s="28" t="n"/>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c r="H218" s="32">
        <f>IF(AND(ISNUMBER(F218),ISNUMBER(G218)),G218-F218,"")</f>
        <v/>
      </c>
      <c r="I218" s="16">
        <f>IF(COUNTBLANK(G218)=1,"Não executado",IF(ISNUMBER(F218)&lt;&gt;ISNUMBER(G218),"Tipo incompatível",IF(IF(E218="&lt;&gt;",G218&lt;&gt;F218,G218=F218),IF(OR(J218="",K218="",NOT(ISNUMBER(L218)),L218&lt;=0),"Evidência pendente","Compatível"),"Divergente")))</f>
        <v/>
      </c>
      <c r="J218" s="12" t="str"/>
      <c r="K218" s="12" t="str"/>
      <c r="L218" s="28" t="n"/>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c r="H219" s="32">
        <f>IF(AND(ISNUMBER(F219),ISNUMBER(G219)),G219-F219,"")</f>
        <v/>
      </c>
      <c r="I219" s="16">
        <f>IF(COUNTBLANK(G219)=1,"Não executado",IF(ISNUMBER(F219)&lt;&gt;ISNUMBER(G219),"Tipo incompatível",IF(IF(E219="&lt;&gt;",G219&lt;&gt;F219,G219=F219),IF(OR(J219="",K219="",NOT(ISNUMBER(L219)),L219&lt;=0),"Evidência pendente","Compatível"),"Divergente")))</f>
        <v/>
      </c>
      <c r="J219" s="12" t="str"/>
      <c r="K219" s="12" t="str"/>
      <c r="L219" s="28" t="n"/>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c r="H220" s="32">
        <f>IF(AND(ISNUMBER(F220),ISNUMBER(G220)),G220-F220,"")</f>
        <v/>
      </c>
      <c r="I220" s="16">
        <f>IF(COUNTBLANK(G220)=1,"Não executado",IF(ISNUMBER(F220)&lt;&gt;ISNUMBER(G220),"Tipo incompatível",IF(IF(E220="&lt;&gt;",G220&lt;&gt;F220,G220=F220),IF(OR(J220="",K220="",NOT(ISNUMBER(L220)),L220&lt;=0),"Evidência pendente","Compatível"),"Divergente")))</f>
        <v/>
      </c>
      <c r="J220" s="12" t="str"/>
      <c r="K220" s="12" t="str"/>
      <c r="L220" s="28" t="n"/>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c r="H221" s="32">
        <f>IF(AND(ISNUMBER(F221),ISNUMBER(G221)),G221-F221,"")</f>
        <v/>
      </c>
      <c r="I221" s="16">
        <f>IF(COUNTBLANK(G221)=1,"Não executado",IF(ISNUMBER(F221)&lt;&gt;ISNUMBER(G221),"Tipo incompatível",IF(IF(E221="&lt;&gt;",G221&lt;&gt;F221,G221=F221),IF(OR(J221="",K221="",NOT(ISNUMBER(L221)),L221&lt;=0),"Evidência pendente","Compatível"),"Divergente")))</f>
        <v/>
      </c>
      <c r="J221" s="12" t="str"/>
      <c r="K221" s="12" t="str"/>
      <c r="L221" s="28" t="n"/>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c r="H222" s="32">
        <f>IF(AND(ISNUMBER(F222),ISNUMBER(G222)),G222-F222,"")</f>
        <v/>
      </c>
      <c r="I222" s="16">
        <f>IF(COUNTBLANK(G222)=1,"Não executado",IF(ISNUMBER(F222)&lt;&gt;ISNUMBER(G222),"Tipo incompatível",IF(IF(E222="&lt;&gt;",G222&lt;&gt;F222,G222=F222),IF(OR(J222="",K222="",NOT(ISNUMBER(L222)),L222&lt;=0),"Evidência pendente","Compatível"),"Divergente")))</f>
        <v/>
      </c>
      <c r="J222" s="12" t="str"/>
      <c r="K222" s="12" t="str"/>
      <c r="L222" s="28" t="n"/>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c r="H223" s="32">
        <f>IF(AND(ISNUMBER(F223),ISNUMBER(G223)),G223-F223,"")</f>
        <v/>
      </c>
      <c r="I223" s="16">
        <f>IF(COUNTBLANK(G223)=1,"Não executado",IF(ISNUMBER(F223)&lt;&gt;ISNUMBER(G223),"Tipo incompatível",IF(IF(E223="&lt;&gt;",G223&lt;&gt;F223,G223=F223),IF(OR(J223="",K223="",NOT(ISNUMBER(L223)),L223&lt;=0),"Evidência pendente","Compatível"),"Divergente")))</f>
        <v/>
      </c>
      <c r="J223" s="12" t="str"/>
      <c r="K223" s="12" t="str"/>
      <c r="L223" s="28" t="n"/>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c r="H224" s="32">
        <f>IF(AND(ISNUMBER(F224),ISNUMBER(G224)),G224-F224,"")</f>
        <v/>
      </c>
      <c r="I224" s="16">
        <f>IF(COUNTBLANK(G224)=1,"Não executado",IF(ISNUMBER(F224)&lt;&gt;ISNUMBER(G224),"Tipo incompatível",IF(IF(E224="&lt;&gt;",G224&lt;&gt;F224,G224=F224),IF(OR(J224="",K224="",NOT(ISNUMBER(L224)),L224&lt;=0),"Evidência pendente","Compatível"),"Divergente")))</f>
        <v/>
      </c>
      <c r="J224" s="12" t="str"/>
      <c r="K224" s="12" t="str"/>
      <c r="L224" s="28" t="n"/>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c r="H225" s="32">
        <f>IF(AND(ISNUMBER(F225),ISNUMBER(G225)),G225-F225,"")</f>
        <v/>
      </c>
      <c r="I225" s="16">
        <f>IF(COUNTBLANK(G225)=1,"Não executado",IF(ISNUMBER(F225)&lt;&gt;ISNUMBER(G225),"Tipo incompatível",IF(IF(E225="&lt;&gt;",G225&lt;&gt;F225,G225=F225),IF(OR(J225="",K225="",NOT(ISNUMBER(L225)),L225&lt;=0),"Evidência pendente","Compatível"),"Divergente")))</f>
        <v/>
      </c>
      <c r="J225" s="12" t="str"/>
      <c r="K225" s="12" t="str"/>
      <c r="L225" s="28" t="n"/>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c r="H226" s="32">
        <f>IF(AND(ISNUMBER(F226),ISNUMBER(G226)),G226-F226,"")</f>
        <v/>
      </c>
      <c r="I226" s="16">
        <f>IF(COUNTBLANK(G226)=1,"Não executado",IF(ISNUMBER(F226)&lt;&gt;ISNUMBER(G226),"Tipo incompatível",IF(IF(E226="&lt;&gt;",G226&lt;&gt;F226,G226=F226),IF(OR(J226="",K226="",NOT(ISNUMBER(L226)),L226&lt;=0),"Evidência pendente","Compatível"),"Divergente")))</f>
        <v/>
      </c>
      <c r="J226" s="12" t="str"/>
      <c r="K226" s="12" t="str"/>
      <c r="L226" s="28" t="n"/>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c r="H227" s="32">
        <f>IF(AND(ISNUMBER(F227),ISNUMBER(G227)),G227-F227,"")</f>
        <v/>
      </c>
      <c r="I227" s="16">
        <f>IF(COUNTBLANK(G227)=1,"Não executado",IF(ISNUMBER(F227)&lt;&gt;ISNUMBER(G227),"Tipo incompatível",IF(IF(E227="&lt;&gt;",G227&lt;&gt;F227,G227=F227),IF(OR(J227="",K227="",NOT(ISNUMBER(L227)),L227&lt;=0),"Evidência pendente","Compatível"),"Divergente")))</f>
        <v/>
      </c>
      <c r="J227" s="12" t="str"/>
      <c r="K227" s="12" t="str"/>
      <c r="L227" s="28" t="n"/>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c r="H228" s="32">
        <f>IF(AND(ISNUMBER(F228),ISNUMBER(G228)),G228-F228,"")</f>
        <v/>
      </c>
      <c r="I228" s="16">
        <f>IF(COUNTBLANK(G228)=1,"Não executado",IF(ISNUMBER(F228)&lt;&gt;ISNUMBER(G228),"Tipo incompatível",IF(IF(E228="&lt;&gt;",G228&lt;&gt;F228,G228=F228),IF(OR(J228="",K228="",NOT(ISNUMBER(L228)),L228&lt;=0),"Evidência pendente","Compatível"),"Divergente")))</f>
        <v/>
      </c>
      <c r="J228" s="12" t="str"/>
      <c r="K228" s="12" t="str"/>
      <c r="L228" s="28" t="n"/>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c r="H229" s="32">
        <f>IF(AND(ISNUMBER(F229),ISNUMBER(G229)),G229-F229,"")</f>
        <v/>
      </c>
      <c r="I229" s="16">
        <f>IF(COUNTBLANK(G229)=1,"Não executado",IF(ISNUMBER(F229)&lt;&gt;ISNUMBER(G229),"Tipo incompatível",IF(IF(E229="&lt;&gt;",G229&lt;&gt;F229,G229=F229),IF(OR(J229="",K229="",NOT(ISNUMBER(L229)),L229&lt;=0),"Evidência pendente","Compatível"),"Divergente")))</f>
        <v/>
      </c>
      <c r="J229" s="12" t="str"/>
      <c r="K229" s="12" t="str"/>
      <c r="L229" s="28" t="n"/>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c r="H230" s="32">
        <f>IF(AND(ISNUMBER(F230),ISNUMBER(G230)),G230-F230,"")</f>
        <v/>
      </c>
      <c r="I230" s="16">
        <f>IF(COUNTBLANK(G230)=1,"Não executado",IF(ISNUMBER(F230)&lt;&gt;ISNUMBER(G230),"Tipo incompatível",IF(IF(E230="&lt;&gt;",G230&lt;&gt;F230,G230=F230),IF(OR(J230="",K230="",NOT(ISNUMBER(L230)),L230&lt;=0),"Evidência pendente","Compatível"),"Divergente")))</f>
        <v/>
      </c>
      <c r="J230" s="12" t="str"/>
      <c r="K230" s="12" t="str"/>
      <c r="L230" s="28" t="n"/>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c r="H231" s="32">
        <f>IF(AND(ISNUMBER(F231),ISNUMBER(G231)),G231-F231,"")</f>
        <v/>
      </c>
      <c r="I231" s="16">
        <f>IF(COUNTBLANK(G231)=1,"Não executado",IF(ISNUMBER(F231)&lt;&gt;ISNUMBER(G231),"Tipo incompatível",IF(IF(E231="&lt;&gt;",G231&lt;&gt;F231,G231=F231),IF(OR(J231="",K231="",NOT(ISNUMBER(L231)),L231&lt;=0),"Evidência pendente","Compatível"),"Divergente")))</f>
        <v/>
      </c>
      <c r="J231" s="12" t="str"/>
      <c r="K231" s="12" t="str"/>
      <c r="L231" s="28" t="n"/>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c r="H232" s="32">
        <f>IF(AND(ISNUMBER(F232),ISNUMBER(G232)),G232-F232,"")</f>
        <v/>
      </c>
      <c r="I232" s="16">
        <f>IF(COUNTBLANK(G232)=1,"Não executado",IF(ISNUMBER(F232)&lt;&gt;ISNUMBER(G232),"Tipo incompatível",IF(IF(E232="&lt;&gt;",G232&lt;&gt;F232,G232=F232),IF(OR(J232="",K232="",NOT(ISNUMBER(L232)),L232&lt;=0),"Evidência pendente","Compatível"),"Divergente")))</f>
        <v/>
      </c>
      <c r="J232" s="12" t="str"/>
      <c r="K232" s="12" t="str"/>
      <c r="L232" s="28" t="n"/>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c r="H233" s="32">
        <f>IF(AND(ISNUMBER(F233),ISNUMBER(G233)),G233-F233,"")</f>
        <v/>
      </c>
      <c r="I233" s="16">
        <f>IF(COUNTBLANK(G233)=1,"Não executado",IF(ISNUMBER(F233)&lt;&gt;ISNUMBER(G233),"Tipo incompatível",IF(IF(E233="&lt;&gt;",G233&lt;&gt;F233,G233=F233),IF(OR(J233="",K233="",NOT(ISNUMBER(L233)),L233&lt;=0),"Evidência pendente","Compatível"),"Divergente")))</f>
        <v/>
      </c>
      <c r="J233" s="12" t="str"/>
      <c r="K233" s="12" t="str"/>
      <c r="L233" s="28" t="n"/>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c r="H234" s="32">
        <f>IF(AND(ISNUMBER(F234),ISNUMBER(G234)),G234-F234,"")</f>
        <v/>
      </c>
      <c r="I234" s="16">
        <f>IF(COUNTBLANK(G234)=1,"Não executado",IF(ISNUMBER(F234)&lt;&gt;ISNUMBER(G234),"Tipo incompatível",IF(IF(E234="&lt;&gt;",G234&lt;&gt;F234,G234=F234),IF(OR(J234="",K234="",NOT(ISNUMBER(L234)),L234&lt;=0),"Evidência pendente","Compatível"),"Divergente")))</f>
        <v/>
      </c>
      <c r="J234" s="12" t="str"/>
      <c r="K234" s="12" t="str"/>
      <c r="L234" s="28" t="n"/>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c r="H235" s="32">
        <f>IF(AND(ISNUMBER(F235),ISNUMBER(G235)),G235-F235,"")</f>
        <v/>
      </c>
      <c r="I235" s="16">
        <f>IF(COUNTBLANK(G235)=1,"Não executado",IF(ISNUMBER(F235)&lt;&gt;ISNUMBER(G235),"Tipo incompatível",IF(IF(E235="&lt;&gt;",G235&lt;&gt;F235,G235=F235),IF(OR(J235="",K235="",NOT(ISNUMBER(L235)),L235&lt;=0),"Evidência pendente","Compatível"),"Divergente")))</f>
        <v/>
      </c>
      <c r="J235" s="12" t="str"/>
      <c r="K235" s="12" t="str"/>
      <c r="L235" s="28" t="n"/>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c r="H236" s="32">
        <f>IF(AND(ISNUMBER(F236),ISNUMBER(G236)),G236-F236,"")</f>
        <v/>
      </c>
      <c r="I236" s="16">
        <f>IF(COUNTBLANK(G236)=1,"Não executado",IF(ISNUMBER(F236)&lt;&gt;ISNUMBER(G236),"Tipo incompatível",IF(IF(E236="&lt;&gt;",G236&lt;&gt;F236,G236=F236),IF(OR(J236="",K236="",NOT(ISNUMBER(L236)),L236&lt;=0),"Evidência pendente","Compatível"),"Divergente")))</f>
        <v/>
      </c>
      <c r="J236" s="12" t="str"/>
      <c r="K236" s="12" t="str"/>
      <c r="L236" s="28" t="n"/>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c r="H237" s="32">
        <f>IF(AND(ISNUMBER(F237),ISNUMBER(G237)),G237-F237,"")</f>
        <v/>
      </c>
      <c r="I237" s="16">
        <f>IF(COUNTBLANK(G237)=1,"Não executado",IF(ISNUMBER(F237)&lt;&gt;ISNUMBER(G237),"Tipo incompatível",IF(IF(E237="&lt;&gt;",G237&lt;&gt;F237,G237=F237),IF(OR(J237="",K237="",NOT(ISNUMBER(L237)),L237&lt;=0),"Evidência pendente","Compatível"),"Divergente")))</f>
        <v/>
      </c>
      <c r="J237" s="12" t="str"/>
      <c r="K237" s="12" t="str"/>
      <c r="L237" s="28" t="n"/>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c r="H238" s="32">
        <f>IF(AND(ISNUMBER(F238),ISNUMBER(G238)),G238-F238,"")</f>
        <v/>
      </c>
      <c r="I238" s="16">
        <f>IF(COUNTBLANK(G238)=1,"Não executado",IF(ISNUMBER(F238)&lt;&gt;ISNUMBER(G238),"Tipo incompatível",IF(IF(E238="&lt;&gt;",G238&lt;&gt;F238,G238=F238),IF(OR(J238="",K238="",NOT(ISNUMBER(L238)),L238&lt;=0),"Evidência pendente","Compatível"),"Divergente")))</f>
        <v/>
      </c>
      <c r="J238" s="12" t="str"/>
      <c r="K238" s="12" t="str"/>
      <c r="L238" s="28" t="n"/>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c r="H239" s="32">
        <f>IF(AND(ISNUMBER(F239),ISNUMBER(G239)),G239-F239,"")</f>
        <v/>
      </c>
      <c r="I239" s="16">
        <f>IF(COUNTBLANK(G239)=1,"Não executado",IF(ISNUMBER(F239)&lt;&gt;ISNUMBER(G239),"Tipo incompatível",IF(IF(E239="&lt;&gt;",G239&lt;&gt;F239,G239=F239),IF(OR(J239="",K239="",NOT(ISNUMBER(L239)),L239&lt;=0),"Evidência pendente","Compatível"),"Divergente")))</f>
        <v/>
      </c>
      <c r="J239" s="12" t="str"/>
      <c r="K239" s="12" t="str"/>
      <c r="L239" s="28" t="n"/>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c r="H240" s="32">
        <f>IF(AND(ISNUMBER(F240),ISNUMBER(G240)),G240-F240,"")</f>
        <v/>
      </c>
      <c r="I240" s="16">
        <f>IF(COUNTBLANK(G240)=1,"Não executado",IF(ISNUMBER(F240)&lt;&gt;ISNUMBER(G240),"Tipo incompatível",IF(IF(E240="&lt;&gt;",G240&lt;&gt;F240,G240=F240),IF(OR(J240="",K240="",NOT(ISNUMBER(L240)),L240&lt;=0),"Evidência pendente","Compatível"),"Divergente")))</f>
        <v/>
      </c>
      <c r="J240" s="12" t="str"/>
      <c r="K240" s="12" t="str"/>
      <c r="L240" s="28" t="n"/>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c r="H241" s="32">
        <f>IF(AND(ISNUMBER(F241),ISNUMBER(G241)),G241-F241,"")</f>
        <v/>
      </c>
      <c r="I241" s="16">
        <f>IF(COUNTBLANK(G241)=1,"Não executado",IF(ISNUMBER(F241)&lt;&gt;ISNUMBER(G241),"Tipo incompatível",IF(IF(E241="&lt;&gt;",G241&lt;&gt;F241,G241=F241),IF(OR(J241="",K241="",NOT(ISNUMBER(L241)),L241&lt;=0),"Evidência pendente","Compatível"),"Divergente")))</f>
        <v/>
      </c>
      <c r="J241" s="12" t="str"/>
      <c r="K241" s="12" t="str"/>
      <c r="L241" s="28" t="n"/>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c r="H242" s="32">
        <f>IF(AND(ISNUMBER(F242),ISNUMBER(G242)),G242-F242,"")</f>
        <v/>
      </c>
      <c r="I242" s="16">
        <f>IF(COUNTBLANK(G242)=1,"Não executado",IF(ISNUMBER(F242)&lt;&gt;ISNUMBER(G242),"Tipo incompatível",IF(IF(E242="&lt;&gt;",G242&lt;&gt;F242,G242=F242),IF(OR(J242="",K242="",NOT(ISNUMBER(L242)),L242&lt;=0),"Evidência pendente","Compatível"),"Divergente")))</f>
        <v/>
      </c>
      <c r="J242" s="12" t="str"/>
      <c r="K242" s="12" t="str"/>
      <c r="L242" s="28" t="n"/>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c r="H243" s="32">
        <f>IF(AND(ISNUMBER(F243),ISNUMBER(G243)),G243-F243,"")</f>
        <v/>
      </c>
      <c r="I243" s="16">
        <f>IF(COUNTBLANK(G243)=1,"Não executado",IF(ISNUMBER(F243)&lt;&gt;ISNUMBER(G243),"Tipo incompatível",IF(IF(E243="&lt;&gt;",G243&lt;&gt;F243,G243=F243),IF(OR(J243="",K243="",NOT(ISNUMBER(L243)),L243&lt;=0),"Evidência pendente","Compatível"),"Divergente")))</f>
        <v/>
      </c>
      <c r="J243" s="12" t="str"/>
      <c r="K243" s="12" t="str"/>
      <c r="L243" s="28" t="n"/>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c r="H244" s="32">
        <f>IF(AND(ISNUMBER(F244),ISNUMBER(G244)),G244-F244,"")</f>
        <v/>
      </c>
      <c r="I244" s="16">
        <f>IF(COUNTBLANK(G244)=1,"Não executado",IF(ISNUMBER(F244)&lt;&gt;ISNUMBER(G244),"Tipo incompatível",IF(IF(E244="&lt;&gt;",G244&lt;&gt;F244,G244=F244),IF(OR(J244="",K244="",NOT(ISNUMBER(L244)),L244&lt;=0),"Evidência pendente","Compatível"),"Divergente")))</f>
        <v/>
      </c>
      <c r="J244" s="12" t="str"/>
      <c r="K244" s="12" t="str"/>
      <c r="L244" s="28" t="n"/>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c r="H245" s="32">
        <f>IF(AND(ISNUMBER(F245),ISNUMBER(G245)),G245-F245,"")</f>
        <v/>
      </c>
      <c r="I245" s="16">
        <f>IF(COUNTBLANK(G245)=1,"Não executado",IF(ISNUMBER(F245)&lt;&gt;ISNUMBER(G245),"Tipo incompatível",IF(IF(E245="&lt;&gt;",G245&lt;&gt;F245,G245=F245),IF(OR(J245="",K245="",NOT(ISNUMBER(L245)),L245&lt;=0),"Evidência pendente","Compatível"),"Divergente")))</f>
        <v/>
      </c>
      <c r="J245" s="12" t="str"/>
      <c r="K245" s="12" t="str"/>
      <c r="L245" s="28" t="n"/>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etapa9-homologacao/evidencias/comparacao-novos-integrais.json; banco.json; extratos-referencia.json — isolamento; sem aceite financeiro</t>
        </is>
      </c>
      <c r="K275" s="23" t="inlineStr">
        <is>
          <t>Codex — observação automatizada isolada, não responsável financeiro</t>
        </is>
      </c>
      <c r="L275" s="31" t="n">
        <v>46317.45682456018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etapa9-homologacao/evidencias/comparacao-novos-integrais.json; banco.json; extratos-referencia.json — isolamento; sem aceite financeiro</t>
        </is>
      </c>
      <c r="K276" s="12" t="inlineStr">
        <is>
          <t>Codex — observação automatizada isolada, não responsável financeiro</t>
        </is>
      </c>
      <c r="L276" s="28" t="n">
        <v>46317.45682456018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etapa9-homologacao/evidencias/comparacao-novos-integrais.json; banco.json; extratos-referencia.json — isolamento; sem aceite financeiro</t>
        </is>
      </c>
      <c r="K277" s="12" t="inlineStr">
        <is>
          <t>Codex — observação automatizada isolada, não responsável financeiro</t>
        </is>
      </c>
      <c r="L277" s="28" t="n">
        <v>46317.45682456018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etapa9-homologacao/evidencias/comparacao-novos-integrais.json; banco.json; extratos-referencia.json — isolamento; sem aceite financeiro</t>
        </is>
      </c>
      <c r="K278" s="12" t="inlineStr">
        <is>
          <t>Codex — observação automatizada isolada, não responsável financeiro</t>
        </is>
      </c>
      <c r="L278" s="28" t="n">
        <v>46317.45682456018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etapa9-homologacao/evidencias/comparacao-novos-integrais.json; banco.json; extratos-referencia.json — isolamento; sem aceite financeiro</t>
        </is>
      </c>
      <c r="K279" s="12" t="inlineStr">
        <is>
          <t>Codex — observação automatizada isolada, não responsável financeiro</t>
        </is>
      </c>
      <c r="L279" s="28" t="n">
        <v>46317.45682456018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etapa9-homologacao/evidencias/comparacao-novos-integrais.json; banco.json; extratos-referencia.json — isolamento; sem aceite financeiro</t>
        </is>
      </c>
      <c r="K280" s="12" t="inlineStr">
        <is>
          <t>Codex — observação automatizada isolada, não responsável financeiro</t>
        </is>
      </c>
      <c r="L280" s="28" t="n">
        <v>46317.45682456018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etapa9-homologacao/evidencias/comparacao-novos-integrais.json; banco.json; extratos-referencia.json — isolamento; sem aceite financeiro</t>
        </is>
      </c>
      <c r="K281" s="12" t="inlineStr">
        <is>
          <t>Codex — observação automatizada isolada, não responsável financeiro</t>
        </is>
      </c>
      <c r="L281" s="28" t="n">
        <v>46317.45682456018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etapa9-homologacao/evidencias/comparacao-novos-integrais.json; banco.json; extratos-referencia.json — isolamento; sem aceite financeiro</t>
        </is>
      </c>
      <c r="K282" s="12" t="inlineStr">
        <is>
          <t>Codex — observação automatizada isolada, não responsável financeiro</t>
        </is>
      </c>
      <c r="L282" s="28" t="n">
        <v>46317.45682456018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c r="H344" s="29">
        <f>IF(AND(ISNUMBER(F344),ISNUMBER(G344)),G344-F344,"")</f>
        <v/>
      </c>
      <c r="I344" s="20">
        <f>IF(COUNTBLANK(G344)=1,"Não executado",IF(ISNUMBER(F344)&lt;&gt;ISNUMBER(G344),"Tipo incompatível",IF(IF(E344="&lt;&gt;",G344&lt;&gt;F344,G344=F344),IF(OR(J344="",K344="",NOT(ISNUMBER(L344)),L344&lt;=0),"Evidência pendente","Compatível"),"Divergente")))</f>
        <v/>
      </c>
      <c r="J344" s="23" t="str"/>
      <c r="K344" s="23" t="str"/>
      <c r="L344" s="31" t="n"/>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c r="H345" s="32">
        <f>IF(AND(ISNUMBER(F345),ISNUMBER(G345)),G345-F345,"")</f>
        <v/>
      </c>
      <c r="I345" s="16">
        <f>IF(COUNTBLANK(G345)=1,"Não executado",IF(ISNUMBER(F345)&lt;&gt;ISNUMBER(G345),"Tipo incompatível",IF(IF(E345="&lt;&gt;",G345&lt;&gt;F345,G345=F345),IF(OR(J345="",K345="",NOT(ISNUMBER(L345)),L345&lt;=0),"Evidência pendente","Compatível"),"Divergente")))</f>
        <v/>
      </c>
      <c r="J345" s="12" t="str"/>
      <c r="K345" s="12" t="str"/>
      <c r="L345" s="28" t="n"/>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c r="H346" s="32">
        <f>IF(AND(ISNUMBER(F346),ISNUMBER(G346)),G346-F346,"")</f>
        <v/>
      </c>
      <c r="I346" s="16">
        <f>IF(COUNTBLANK(G346)=1,"Não executado",IF(ISNUMBER(F346)&lt;&gt;ISNUMBER(G346),"Tipo incompatível",IF(IF(E346="&lt;&gt;",G346&lt;&gt;F346,G346=F346),IF(OR(J346="",K346="",NOT(ISNUMBER(L346)),L346&lt;=0),"Evidência pendente","Compatível"),"Divergente")))</f>
        <v/>
      </c>
      <c r="J346" s="12" t="str"/>
      <c r="K346" s="12" t="str"/>
      <c r="L346" s="28" t="n"/>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c r="H347" s="32">
        <f>IF(AND(ISNUMBER(F347),ISNUMBER(G347)),G347-F347,"")</f>
        <v/>
      </c>
      <c r="I347" s="16">
        <f>IF(COUNTBLANK(G347)=1,"Não executado",IF(ISNUMBER(F347)&lt;&gt;ISNUMBER(G347),"Tipo incompatível",IF(IF(E347="&lt;&gt;",G347&lt;&gt;F347,G347=F347),IF(OR(J347="",K347="",NOT(ISNUMBER(L347)),L347&lt;=0),"Evidência pendente","Compatível"),"Divergente")))</f>
        <v/>
      </c>
      <c r="J347" s="12" t="str"/>
      <c r="K347" s="12" t="str"/>
      <c r="L347" s="28" t="n"/>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c r="H348" s="32">
        <f>IF(AND(ISNUMBER(F348),ISNUMBER(G348)),G348-F348,"")</f>
        <v/>
      </c>
      <c r="I348" s="16">
        <f>IF(COUNTBLANK(G348)=1,"Não executado",IF(ISNUMBER(F348)&lt;&gt;ISNUMBER(G348),"Tipo incompatível",IF(IF(E348="&lt;&gt;",G348&lt;&gt;F348,G348=F348),IF(OR(J348="",K348="",NOT(ISNUMBER(L348)),L348&lt;=0),"Evidência pendente","Compatível"),"Divergente")))</f>
        <v/>
      </c>
      <c r="J348" s="12" t="str"/>
      <c r="K348" s="12" t="str"/>
      <c r="L348" s="28" t="n"/>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c r="H349" s="32">
        <f>IF(AND(ISNUMBER(F349),ISNUMBER(G349)),G349-F349,"")</f>
        <v/>
      </c>
      <c r="I349" s="16">
        <f>IF(COUNTBLANK(G349)=1,"Não executado",IF(ISNUMBER(F349)&lt;&gt;ISNUMBER(G349),"Tipo incompatível",IF(IF(E349="&lt;&gt;",G349&lt;&gt;F349,G349=F349),IF(OR(J349="",K349="",NOT(ISNUMBER(L349)),L349&lt;=0),"Evidência pendente","Compatível"),"Divergente")))</f>
        <v/>
      </c>
      <c r="J349" s="12" t="str"/>
      <c r="K349" s="12" t="str"/>
      <c r="L349" s="28" t="n"/>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4" max="4"/>
    <col width="90" customWidth="1" min="5" max="5"/>
    <col width="90" customWidth="1" min="6" max="6"/>
    <col width="90" customWidth="1" min="7" max="7"/>
    <col width="90" customWidth="1" min="8" max="8"/>
    <col width="90" customWidth="1" min="9" max="9"/>
    <col width="90" customWidth="1" min="10" max="10"/>
  </cols>
  <sheetData>
    <row r="1">
      <c r="A1" t="inlineStr">
        <is>
          <t>Caso</t>
        </is>
      </c>
      <c r="B1" t="inlineStr">
        <is>
          <t>Regra</t>
        </is>
      </c>
      <c r="C1" t="inlineStr">
        <is>
          <t>Classificação Etapa8</t>
        </is>
      </c>
      <c r="D1" t="inlineStr">
        <is>
          <t>Classificação Etapa9</t>
        </is>
      </c>
      <c r="E1" t="inlineStr">
        <is>
          <t>Esperado fixo (centavos)</t>
        </is>
      </c>
      <c r="F1" t="inlineStr">
        <is>
          <t>Obtido (centavos/null)</t>
        </is>
      </c>
      <c r="G1" t="inlineStr">
        <is>
          <t>Observado</t>
        </is>
      </c>
      <c r="H1" t="inlineStr">
        <is>
          <t>Pendência específica</t>
        </is>
      </c>
      <c r="I1" t="inlineStr">
        <is>
          <t>Evidência</t>
        </is>
      </c>
      <c r="J1" t="inlineStr">
        <is>
          <t>Aceite financeiro</t>
        </is>
      </c>
    </row>
    <row r="2">
      <c r="A2" t="inlineStr">
        <is>
          <t>CT01</t>
        </is>
      </c>
      <c r="B2" t="inlineStr">
        <is>
          <t>§4, §14 item 1, I03, I22</t>
        </is>
      </c>
      <c r="C2" t="inlineStr">
        <is>
          <t>Integralmente aprovado no perímetro isolado</t>
        </is>
      </c>
      <c r="D2" t="inlineStr">
        <is>
          <t>Conforme técnico herdado — conferência independente pendente</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Banco/importação: 3 repetições, recorte parcial, identidade, 30.000 abertos.</t>
        </is>
      </c>
      <c r="H2" t="inlineStr">
        <is>
          <t>Revisar a evidência documental e o perímetro; controles herdados não certificam dados reais, custo econômico nem extrato independente.</t>
        </is>
      </c>
      <c r="I2" t="inlineStr">
        <is>
          <t>reexecucao/casos-obtidos.json; reexecucao/comparacao-integrais.json</t>
        </is>
      </c>
      <c r="J2" t="inlineStr">
        <is>
          <t>Pendente — responsável não identificado; nenhum aceite registrado</t>
        </is>
      </c>
    </row>
    <row r="3">
      <c r="A3" t="inlineStr">
        <is>
          <t>CT02</t>
        </is>
      </c>
      <c r="B3" t="inlineStr">
        <is>
          <t>§3, §4, §10, I03</t>
        </is>
      </c>
      <c r="C3" t="inlineStr">
        <is>
          <t>Parcialmente coberto</t>
        </is>
      </c>
      <c r="D3" t="inlineStr">
        <is>
          <t>Parcialmente coberto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Histórico em função pura passa nos T/K exatos, e reimportação/revisão passam nos controles anteriores, separadamente.</t>
        </is>
      </c>
      <c r="H3" t="inlineStr">
        <is>
          <t>Falta unir a reimportação real, autorização do acréscimo e consultas persistidas dos três cortes T/K da fixture numa cadeia documental reproduzível.</t>
        </is>
      </c>
      <c r="I3" t="inlineStr">
        <is>
          <t>componentes-adicionais.json; comparacao-componentes-adicionais.json</t>
        </is>
      </c>
      <c r="J3" t="inlineStr">
        <is>
          <t>Pendente — responsável não identificado; nenhum aceite registrado</t>
        </is>
      </c>
    </row>
    <row r="4">
      <c r="A4" t="inlineStr">
        <is>
          <t>CT03</t>
        </is>
      </c>
      <c r="B4" t="inlineStr">
        <is>
          <t>§5, §8.1, I02, I03</t>
        </is>
      </c>
      <c r="C4" t="inlineStr">
        <is>
          <t>Parcialmente coberto</t>
        </is>
      </c>
      <c r="D4" t="inlineStr">
        <is>
          <t>Parcialmente coberto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null}</t>
        </is>
      </c>
      <c r="G4" t="inlineStr">
        <is>
          <t>Dois pagamentos e extrato fixo independente passam: aberto7.000→5.000; duas saídas somam5.000; conciliar/reimportar cria zero caixa.</t>
        </is>
      </c>
      <c r="H4" t="inlineStr">
        <is>
          <t>Falta evento econômico persistido anterior e leitura de I01 antes/depois. O campo de custo adicional é null; não presumir zero por ausência de evento na fixture.</t>
        </is>
      </c>
      <c r="I4" t="inlineStr">
        <is>
          <t>banco.json; registros.json; ponte.json; extratos-referencia.json</t>
        </is>
      </c>
      <c r="J4" t="inlineStr">
        <is>
          <t>Pendente — responsável não identificado; nenhum aceite registrado</t>
        </is>
      </c>
    </row>
    <row r="5">
      <c r="A5" t="inlineStr">
        <is>
          <t>CT04</t>
        </is>
      </c>
      <c r="B5" t="inlineStr">
        <is>
          <t>§3, I01, I02, I06, I07</t>
        </is>
      </c>
      <c r="C5" t="inlineStr">
        <is>
          <t>Parcialmente coberto</t>
        </is>
      </c>
      <c r="D5" t="inlineStr">
        <is>
          <t>Parcialmente coberto</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Oráculo puro de competência/datas e limites30/90 passa.</t>
        </is>
      </c>
      <c r="H5" t="inlineStr">
        <is>
          <t>Falta encadear serviço aceito de setembro, emissão5/10, título/pagamento22 e confirmação24 em persistência/relatórios com relógio controlado; não confundir conciliação com novo caixa.</t>
        </is>
      </c>
      <c r="I5" t="inlineStr">
        <is>
          <t>reexecucao/casos-componentes.json; reexecucao/comparacao-componentes.json</t>
        </is>
      </c>
      <c r="J5" t="inlineStr">
        <is>
          <t>Pendente — responsável não identificado; nenhum aceite registrado</t>
        </is>
      </c>
    </row>
    <row r="6">
      <c r="A6" t="inlineStr">
        <is>
          <t>CT05</t>
        </is>
      </c>
      <c r="B6" t="inlineStr">
        <is>
          <t>§7.1, §8.2, §12.1, I05, I09, I10, I12, I13</t>
        </is>
      </c>
      <c r="C6" t="inlineStr">
        <is>
          <t>Parcialmente coberto</t>
        </is>
      </c>
      <c r="D6" t="inlineStr">
        <is>
          <t>Parcialmente coberto</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Crédito AP pago, aplicação e reversão passam no ledger existente.</t>
        </is>
      </c>
      <c r="H6" t="inlineStr">
        <is>
          <t>Faltam estados A–E com contrato/medição econômica aceita e ETC comprovado, vinculados ao mesmo escopo e extrato independente. Não obter custo da assinatura ou adiantamento.</t>
        </is>
      </c>
      <c r="I6" t="inlineStr">
        <is>
          <t>reexecucao/execucoes.json; ../../etapa8-fluxo/CENARIOS-30.md</t>
        </is>
      </c>
      <c r="J6" t="inlineStr">
        <is>
          <t>Pendente — responsável não identificado; nenhum aceite registrado</t>
        </is>
      </c>
    </row>
    <row r="7">
      <c r="A7" t="inlineStr">
        <is>
          <t>CT06</t>
        </is>
      </c>
      <c r="B7" t="inlineStr">
        <is>
          <t>§8.2, I03, I05, I08, I10, I12</t>
        </is>
      </c>
      <c r="C7" t="inlineStr">
        <is>
          <t>Parcialmente coberto</t>
        </is>
      </c>
      <c r="D7" t="inlineStr">
        <is>
          <t>Parcialmente coberto</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Componentes manuais85.000/5.000/10.000 e extratos fixos conservam100.000; aberto15.000→10.000→0.</t>
        </is>
      </c>
      <c r="H7" t="inlineStr">
        <is>
          <t>Faltam pai econômico/documental único, geração nativa dos filhos/credores, cobertura C/Q, custo econômico e liberação condicionada da retenção. Campos C/Q/custo desconhecidos permanecem null.</t>
        </is>
      </c>
      <c r="I7" t="inlineStr">
        <is>
          <t>banco.json; registros.json; ponte.json; extratos-referencia.json</t>
        </is>
      </c>
      <c r="J7" t="inlineStr">
        <is>
          <t>Pendente — responsável não identificado; nenhum aceite registrado</t>
        </is>
      </c>
    </row>
    <row r="8">
      <c r="A8" t="inlineStr">
        <is>
          <t>CT07</t>
        </is>
      </c>
      <c r="B8" t="inlineStr">
        <is>
          <t>§5, §8.3, §12.3, I02, I03, I10</t>
        </is>
      </c>
      <c r="C8" t="inlineStr">
        <is>
          <t>Integralmente aprovado no perímetro isolado</t>
        </is>
      </c>
      <c r="D8" t="inlineStr">
        <is>
          <t>Conforme técnico herdado — conferência independente pendente</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Sequência aprovada: 40.000 + 55.000 principal + 2.000 juros − 5.000 desconto; caixa 97.000, saldo 0. Exemplo 30/70 e tela AP passam.</t>
        </is>
      </c>
      <c r="H8" t="inlineStr">
        <is>
          <t>Revisar a evidência documental e o perímetro; controles herdados não certificam dados reais, custo econômico nem extrato independente.</t>
        </is>
      </c>
      <c r="I8" t="inlineStr">
        <is>
          <t>reexecucao/casos-obtidos.json; reexecucao/comparacao-integrais.json</t>
        </is>
      </c>
      <c r="J8" t="inlineStr">
        <is>
          <t>Pendente — responsável não identificado; nenhum aceite registrado</t>
        </is>
      </c>
    </row>
    <row r="9">
      <c r="A9" t="inlineStr">
        <is>
          <t>CT08</t>
        </is>
      </c>
      <c r="B9" t="inlineStr">
        <is>
          <t>§8.3, §12.3, I02, I03</t>
        </is>
      </c>
      <c r="C9" t="inlineStr">
        <is>
          <t>Integralmente aprovado no perímetro isolado</t>
        </is>
      </c>
      <c r="D9" t="inlineStr">
        <is>
          <t>Conforme técnico herdado — conferência independente pendente</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Variantes A/B/C: R 57.000/62.000; devolução 57.000 somente com prova fictícia; sem devolução, 57.000 pendentes sem reescrever caixa.</t>
        </is>
      </c>
      <c r="H9" t="inlineStr">
        <is>
          <t>Revisar a evidência documental e o perímetro; controles herdados não certificam dados reais, custo econômico nem extrato independente.</t>
        </is>
      </c>
      <c r="I9" t="inlineStr">
        <is>
          <t>reexecucao/casos-obtidos.json; reexecucao/comparacao-integrais.json</t>
        </is>
      </c>
      <c r="J9" t="inlineStr">
        <is>
          <t>Pendente — responsável não identificado; nenhum aceite registrado</t>
        </is>
      </c>
    </row>
    <row r="10">
      <c r="A10" t="inlineStr">
        <is>
          <t>CT09</t>
        </is>
      </c>
      <c r="B10" t="inlineStr">
        <is>
          <t>§7.2, §8.3, I01, I03, I04, I05</t>
        </is>
      </c>
      <c r="C10" t="inlineStr">
        <is>
          <t>Parcialmente coberto</t>
        </is>
      </c>
      <c r="D10" t="inlineStr">
        <is>
          <t>Parcialmente coberto</t>
        </is>
      </c>
      <c r="E10" t="inlineStr">
        <is>
          <t>{"before_invoice_I03_cents": 0, "before_invoice_I04_cents": 800000, "final_I03_cents": 800000, "final_I04_cents": 0, "final_R_cents": 800000, "cost_cents": 800000, "cash_cents": 0, "active_financial_representations": 1}</t>
        </is>
      </c>
      <c r="F10" t="inlineStr">
        <is>
          <t>null</t>
        </is>
      </c>
      <c r="G10" t="inlineStr">
        <is>
          <t>Cobertura nativa nota/parcela/medição elimina sobreposição em componentes.</t>
        </is>
      </c>
      <c r="H10" t="inlineStr">
        <is>
          <t>Falta executar MED-01→NF-01→NF-02 com cancelamento exclusivamente documental, I04→I03, um único custo e representação ativa, mantendo todas as versões.</t>
        </is>
      </c>
      <c r="I10" t="inlineStr">
        <is>
          <t>reexecucao/execucoes.json; ../../etapa8-fluxo/CENARIOS-30.md</t>
        </is>
      </c>
      <c r="J10" t="inlineStr">
        <is>
          <t>Pendente — responsável não identificado; nenhum aceite registrado</t>
        </is>
      </c>
    </row>
    <row r="11">
      <c r="A11" t="inlineStr">
        <is>
          <t>CT10</t>
        </is>
      </c>
      <c r="B11" t="inlineStr">
        <is>
          <t>§7.1, §8.3, I02, I09, I10, I12</t>
        </is>
      </c>
      <c r="C11" t="inlineStr">
        <is>
          <t>Não executado</t>
        </is>
      </c>
      <c r="D11" t="inlineStr">
        <is>
          <t>Reprovado — restituição não representada</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null, "after_cancellation_H_imputable_to_current_price_cents": null, "after_cancellation_C_cents": null, "after_cancellation_R_cents": 0, "after_cancellation_Q_cents": null, "refund_right_before_receipt_cents": 0, "refund_right_after_receipt_cents": null, "historical_gross_outflow_cents": 1000000, "confirmed_refund_cents": 600000, "net_outflow_cents": 400000, "cost_cents": null}</t>
        </is>
      </c>
      <c r="G11" t="inlineStr">
        <is>
          <t>Cancelamento contratual não gera crédito de restituição; direito registrado0 versus10.000 esperado. Caminho de estorno com devolução6.000 preserva caixa líquido4.000 mas reabre AP10.000. V/H/C/Q/custo e direito remanescente sem prova própria ficam null.</t>
        </is>
      </c>
      <c r="H11" t="inlineStr">
        <is>
          <t>Criar conversão documentada e autorizada do adiantamento em direito de restituição vinculado ao cancelamento econômico; retirar cobertura do preço cancelado, liquidar somente6.000 do direito e conservar4.000, sem reabrir AP nem apagar saída original. Não implementado nesta homologação.</t>
        </is>
      </c>
      <c r="I11" t="inlineStr">
        <is>
          <t>banco.json; registros.json; ponte.json; extratos-referencia.json</t>
        </is>
      </c>
      <c r="J11" t="inlineStr">
        <is>
          <t>Pendente — responsável não identificado; nenhum aceite registrado</t>
        </is>
      </c>
    </row>
    <row r="12">
      <c r="A12" t="inlineStr">
        <is>
          <t>CT11</t>
        </is>
      </c>
      <c r="B12" t="inlineStr">
        <is>
          <t>§9, §12.5, I01, I02, I22</t>
        </is>
      </c>
      <c r="C12" t="inlineStr">
        <is>
          <t>Parcialmente coberto</t>
        </is>
      </c>
      <c r="D12" t="inlineStr">
        <is>
          <t>Parcialmente coberto</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Oráculo puro60/40 e maior resto passa no centavo; saída1.800/1.200. Importação marca multi_project_requires_ledger.</t>
        </is>
      </c>
      <c r="H12" t="inlineStr">
        <is>
          <t>Falta ledger persistido multiobra na mesma entidade, versão/aprovador, pagamento parcial e devolução por obra; não promover quarentena a rateio concluído. Consumidor puro não transporta project_id e exige conferir contexto completo.</t>
        </is>
      </c>
      <c r="I12" t="inlineStr">
        <is>
          <t>componentes-adicionais.json; comparacao-componentes-adicionais.json</t>
        </is>
      </c>
      <c r="J12" t="inlineStr">
        <is>
          <t>Pendente — responsável não identificado; nenhum aceite registrado</t>
        </is>
      </c>
    </row>
    <row r="13">
      <c r="A13" t="inlineStr">
        <is>
          <t>CT12</t>
        </is>
      </c>
      <c r="B13" t="inlineStr">
        <is>
          <t>§9, §11, I01, I02, I03, I22, D01</t>
        </is>
      </c>
      <c r="C13" t="inlineStr">
        <is>
          <t>Integralmente aprovado no perímetro isolado</t>
        </is>
      </c>
      <c r="D13" t="inlineStr">
        <is>
          <t>Conforme técnico herdado — conferência independente pendente</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H13" t="inlineStr">
        <is>
          <t>Revisar a evidência documental e o perímetro; controles herdados não certificam dados reais, custo econômico nem extrato independente.</t>
        </is>
      </c>
      <c r="I13" t="inlineStr">
        <is>
          <t>reexecucao/casos-obtidos.json; reexecucao/comparacao-integrais.json</t>
        </is>
      </c>
      <c r="J13" t="inlineStr">
        <is>
          <t>Pendente — responsável não identificado; nenhum aceite registrado</t>
        </is>
      </c>
    </row>
    <row r="14">
      <c r="A14" t="inlineStr">
        <is>
          <t>CT13</t>
        </is>
      </c>
      <c r="B14" t="inlineStr">
        <is>
          <t>§8.5, I16, I17, I19</t>
        </is>
      </c>
      <c r="C14" t="inlineStr">
        <is>
          <t>Parcialmente coberto</t>
        </is>
      </c>
      <c r="D14" t="inlineStr">
        <is>
          <t>Conforme no cenário isolado — pendente aceite</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Todos os campos passam com títulos/encargo/recebimentos reais no banco isolado e extrato fixo: aberto86.120, vencido6.120, recebido14.000, coorte30%.</t>
        </is>
      </c>
      <c r="H14" t="inlineStr">
        <is>
          <t>Lacuna numérica da fixture resolvida neste perímetro. Permanecem Auth/navegador, dados reais/documentos e aprovação nominal D09; não bloqueiam o resultado fictício registrado.</t>
        </is>
      </c>
      <c r="I14" t="inlineStr">
        <is>
          <t>banco.json; registros.json; ponte.json; extratos-referencia.json</t>
        </is>
      </c>
      <c r="J14" t="inlineStr">
        <is>
          <t>Pendente — responsável não identificado; nenhum aceite registrado</t>
        </is>
      </c>
    </row>
    <row r="15">
      <c r="A15" t="inlineStr">
        <is>
          <t>CT14</t>
        </is>
      </c>
      <c r="B15" t="inlineStr">
        <is>
          <t>§8.5, §12.4, I16, I17</t>
        </is>
      </c>
      <c r="C15" t="inlineStr">
        <is>
          <t>Parcialmente coberto</t>
        </is>
      </c>
      <c r="D15" t="inlineStr">
        <is>
          <t>Conforme no cenário isolado — pendente aceite</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Tarifa: liquida10.000, banco9.800, tarifa200 e aberto0. Permuta separada: liquida100.000, caixa30.000 e bem70.000. Extratos fixos conferidos.</t>
        </is>
      </c>
      <c r="H15" t="inlineStr">
        <is>
          <t>Lacuna numérica das duas variantes resolvida no ledger isolado. Bem/documento são fictícios, não avaliação patrimonial real nem aceite do contador; canal operacional de anexos/avaliação continua fora deste teste.</t>
        </is>
      </c>
      <c r="I15" t="inlineStr">
        <is>
          <t>banco.json; registros.json; ponte.json; extratos-referencia.json</t>
        </is>
      </c>
      <c r="J15" t="inlineStr">
        <is>
          <t>Pendente — responsável não identificado; nenhum aceite registrado</t>
        </is>
      </c>
    </row>
    <row r="16">
      <c r="A16" t="inlineStr">
        <is>
          <t>CT15</t>
        </is>
      </c>
      <c r="B16" t="inlineStr">
        <is>
          <t>§8.6, §12.7, I02, I17, I20</t>
        </is>
      </c>
      <c r="C16" t="inlineStr">
        <is>
          <t>Integralmente aprovado no perímetro isolado</t>
        </is>
      </c>
      <c r="D16" t="inlineStr">
        <is>
          <t>Conforme técnico herdado — conferência independente pendente</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Aberturas 50.000/10.000 comprovadas na fixture. Dia20: banco39.985 + trânsito20.000; dia21: banco59.985 e trânsito0. Tarifa15 é única saída externa. Pontas e tarifa vinculadas a extratos fictícios.</t>
        </is>
      </c>
      <c r="H16" t="inlineStr">
        <is>
          <t>Revisar a evidência documental e o perímetro; controles herdados não certificam dados reais, custo econômico nem extrato independente.</t>
        </is>
      </c>
      <c r="I16" t="inlineStr">
        <is>
          <t>reexecucao/casos-obtidos.json; reexecucao/comparacao-integrais.json</t>
        </is>
      </c>
      <c r="J16" t="inlineStr">
        <is>
          <t>Pendente — responsável não identificado; nenhum aceite registrado</t>
        </is>
      </c>
    </row>
    <row r="17">
      <c r="A17" t="inlineStr">
        <is>
          <t>CT16</t>
        </is>
      </c>
      <c r="B17" t="inlineStr">
        <is>
          <t>§4, §8.6, I20, I21, D13</t>
        </is>
      </c>
      <c r="C17" t="inlineStr">
        <is>
          <t>Integralmente aprovado no perímetro isolado</t>
        </is>
      </c>
      <c r="D17" t="inlineStr">
        <is>
          <t>Conforme técnico herdado — conferência independente pendente</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Mútuo documentado20.000: A/B fecham30.000 cada. Consolidado autorizado60.000; zero fluxo externo do mútuo; registros individuais preservados. Natureza/direitos no evento, sem presumir DFC contábil ou criar receita/custo.</t>
        </is>
      </c>
      <c r="H17" t="inlineStr">
        <is>
          <t>Revisar a evidência documental e o perímetro; controles herdados não certificam dados reais, custo econômico nem extrato independente.</t>
        </is>
      </c>
      <c r="I17" t="inlineStr">
        <is>
          <t>reexecucao/casos-obtidos.json; reexecucao/comparacao-integrais.json</t>
        </is>
      </c>
      <c r="J17" t="inlineStr">
        <is>
          <t>Pendente — responsável não identificado; nenhum aceite registrado</t>
        </is>
      </c>
    </row>
    <row r="18">
      <c r="A18" t="inlineStr">
        <is>
          <t>CT17</t>
        </is>
      </c>
      <c r="B18" t="inlineStr">
        <is>
          <t>§3, §7.2, §10, I06, I12, I14, I19, I21</t>
        </is>
      </c>
      <c r="C18" t="inlineStr">
        <is>
          <t>Integralmente aprovado no perímetro isolado</t>
        </is>
      </c>
      <c r="D18" t="inlineStr">
        <is>
          <t>Conforme técnico herdado — conferência independente pendente</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Versões persistidas e fontes congeladas. Original130.000/80.000/40.000; reprogramado80.000/−10.000/40.000; necessidade0→30.000. Vencimentos permanecem até acordo separado; variante de renegociação e posição anterior passam. Incorrido20.000 é fato fixo da fixture.</t>
        </is>
      </c>
      <c r="H18" t="inlineStr">
        <is>
          <t>Revisar a evidência documental e o perímetro; controles herdados não certificam dados reais, custo econômico nem extrato independente.</t>
        </is>
      </c>
      <c r="I18" t="inlineStr">
        <is>
          <t>reexecucao/casos-obtidos.json; reexecucao/comparacao-integrais.json</t>
        </is>
      </c>
      <c r="J18" t="inlineStr">
        <is>
          <t>Pendente — responsável não identificado; nenhum aceite registrado</t>
        </is>
      </c>
    </row>
    <row r="19">
      <c r="A19" t="inlineStr">
        <is>
          <t>CT18</t>
        </is>
      </c>
      <c r="B19" t="inlineStr">
        <is>
          <t>§7.1, §7.2, I05, I10, I11, I12</t>
        </is>
      </c>
      <c r="C19" t="inlineStr">
        <is>
          <t>Parcialmente coberto</t>
        </is>
      </c>
      <c r="D19" t="inlineStr">
        <is>
          <t>Parcialmente coberto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Estados A–F passam no núcleo puro; P→C e vínculo nativo foram persistidos em controles separados.</t>
        </is>
      </c>
      <c r="H19" t="inlineStr">
        <is>
          <t>Falta cadeia única persistida de100.000 P→60.000 C+40.000 P→título20.000→pagamento5.000 e AF2.000 constituído em20/11, retirando o mesmo AF sem repetir encargo.</t>
        </is>
      </c>
      <c r="I19" t="inlineStr">
        <is>
          <t>reexecucao/casos-componentes.json; reexecucao/comparacao-componentes.json</t>
        </is>
      </c>
      <c r="J19" t="inlineStr">
        <is>
          <t>Pendente — responsável não identificado; nenhum aceite registrado</t>
        </is>
      </c>
    </row>
    <row r="20">
      <c r="A20" t="inlineStr">
        <is>
          <t>CT19</t>
        </is>
      </c>
      <c r="B20" t="inlineStr">
        <is>
          <t>§8.4, §12.6, I01, I13, I14, I15</t>
        </is>
      </c>
      <c r="C20" t="inlineStr">
        <is>
          <t>Parcialmente coberto</t>
        </is>
      </c>
      <c r="D20" t="inlineStr">
        <is>
          <t>Parcialmente coberto</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Oráculo econômico puro: incorrido450.000; ETC800.000; EAC1.250.000; desvio25%; proposta não firme.</t>
        </is>
      </c>
      <c r="H20" t="inlineStr">
        <is>
          <t>Falta rastrear aprovação/vigência do aditivo50.000 e reestimativa350.000 até orçamento original/vigente persistidos, conferindo cenário de risco40.000. Não afirmar Q sem histórico de pagamentos.</t>
        </is>
      </c>
      <c r="I20" t="inlineStr">
        <is>
          <t>reexecucao/casos-componentes.json; reexecucao/comparacao-componentes.json</t>
        </is>
      </c>
      <c r="J20" t="inlineStr">
        <is>
          <t>Pendente — responsável não identificado; nenhum aceite registrado</t>
        </is>
      </c>
    </row>
    <row r="21">
      <c r="A21" t="inlineStr">
        <is>
          <t>CT20</t>
        </is>
      </c>
      <c r="B21" t="inlineStr">
        <is>
          <t>§3, §10, I01, I02, D11</t>
        </is>
      </c>
      <c r="C21" t="inlineStr">
        <is>
          <t>Parcialmente coberto</t>
        </is>
      </c>
      <c r="D21" t="inlineStr">
        <is>
          <t>Parcialmente coberto</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Bloqueios de período bancário e contra reimportação fechada passam.</t>
        </is>
      </c>
      <c r="H21" t="inlineStr">
        <is>
          <t>Faltam fechamento econômico setembro500.000, retificação aprovada30.000 e consultas T30/09 em K original/reapresentado530.000, com ponte e banco outubro30.000. Versão de caixa não substitui fechamento econômico.</t>
        </is>
      </c>
      <c r="I21" t="inlineStr">
        <is>
          <t>reexecucao/execucoes.json; ../../etapa8-fluxo/CENARIOS-30.md</t>
        </is>
      </c>
      <c r="J21" t="inlineStr">
        <is>
          <t>Pendente — responsável não identificado; nenhum aceite registrado</t>
        </is>
      </c>
    </row>
    <row r="22">
      <c r="A22" t="inlineStr">
        <is>
          <t>CT21</t>
        </is>
      </c>
      <c r="B22" t="inlineStr">
        <is>
          <t>§7.2, §11, I12, I14, I15, I22</t>
        </is>
      </c>
      <c r="C22" t="inlineStr">
        <is>
          <t>Parcialmente coberto</t>
        </is>
      </c>
      <c r="D22" t="inlineStr">
        <is>
          <t>Parcialmente coberto</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Função pura preserva Q/EAC/desvio/cobertura null; não soma140.000+840.000 como total confiável.</t>
        </is>
      </c>
      <c r="H22" t="inlineStr">
        <is>
          <t>Falta obter composição idêntica de dashboard/exportação/IA no mesmo T/K e teste de exceção condicionada sem apagar lacunas; universo externo continua desconhecido.</t>
        </is>
      </c>
      <c r="I22" t="inlineStr">
        <is>
          <t>reexecucao/casos-componentes.json; reexecucao/comparacao-componentes.json</t>
        </is>
      </c>
      <c r="J22" t="inlineStr">
        <is>
          <t>Pendente — responsável não identificado; nenhum aceite registrado</t>
        </is>
      </c>
    </row>
    <row r="23">
      <c r="A23" t="inlineStr">
        <is>
          <t>CT22</t>
        </is>
      </c>
      <c r="B23" t="inlineStr">
        <is>
          <t>§8.2, §8.5, I09, I16, I17, I18</t>
        </is>
      </c>
      <c r="C23" t="inlineStr">
        <is>
          <t>Parcialmente coberto</t>
        </is>
      </c>
      <c r="D23" t="inlineStr">
        <is>
          <t>Parcialmente coberto</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Banco20.000, crédito20.000→0, parcela aberta20.000 e zero caixa na aplicação; contraparte/contrato identificados.</t>
        </is>
      </c>
      <c r="H23" t="inlineStr">
        <is>
          <t>Falta mapa automático exclusivo de contrato100.000/parcela40.000/antecipação20.000 para futuro60.000 e I18=80.000, e prova de ausência de receita econômica automática. Esses três resultados continuam null.</t>
        </is>
      </c>
      <c r="I23" t="inlineStr">
        <is>
          <t>banco.json; registros.json; ponte.json; extratos-referencia.json</t>
        </is>
      </c>
      <c r="J23" t="inlineStr">
        <is>
          <t>Pendente — responsável não identificado; nenhum aceite registrado</t>
        </is>
      </c>
    </row>
    <row r="24">
      <c r="A24" t="inlineStr">
        <is>
          <t>CT23</t>
        </is>
      </c>
      <c r="B24" t="inlineStr">
        <is>
          <t>§4, §8.1, I02, I03</t>
        </is>
      </c>
      <c r="C24" t="inlineStr">
        <is>
          <t>Integralmente aprovado no perímetro isolado</t>
        </is>
      </c>
      <c r="D24" t="inlineStr">
        <is>
          <t>Conforme no cenário isolado — pendente aceite</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Refeito com entradas exatas A8.000/B12.000, alocações4.000/6.000 e4.000/2.000, e dois débitos fixos10.000/6.000. Todos os campos passam.</t>
        </is>
      </c>
      <c r="H24" t="inlineStr">
        <is>
          <t>Fixture anterior usava A10.000/B10.000 e primeira alocação6.000/4.000, embora produzisse os mesmos saldos. Evidência anterior não comprovava as entradas exatas; corrigido no teste novo sem alterar operação/expected.</t>
        </is>
      </c>
      <c r="I24" t="inlineStr">
        <is>
          <t>banco.json; registros.json; ponte.json; extratos-referencia.json</t>
        </is>
      </c>
      <c r="J24" t="inlineStr">
        <is>
          <t>Pendente — responsável não identificado; nenhum aceite registrado</t>
        </is>
      </c>
    </row>
    <row r="25">
      <c r="A25" t="inlineStr">
        <is>
          <t>CT24</t>
        </is>
      </c>
      <c r="B25" t="inlineStr">
        <is>
          <t>§4, §11, §14 item 13, D02, D13</t>
        </is>
      </c>
      <c r="C25" t="inlineStr">
        <is>
          <t>Parcialmente coberto</t>
        </is>
      </c>
      <c r="D25" t="inlineStr">
        <is>
          <t>Parcialmente coberto</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null</t>
        </is>
      </c>
      <c r="G25" t="inlineStr">
        <is>
          <t>Controles SQL de organizações, entidades, perfis e propostas IA foram repetidos.</t>
        </is>
      </c>
      <c r="H25" t="inlineStr">
        <is>
          <t>Falta caso integral de três títulos nos contextos UA/UB/UR/UG, incluindo Auth real, detalhe, anexos/storage, exportações/IA, cache, jobs e trocas de contexto. Não extrapolar RLS SQL a todos os canais.</t>
        </is>
      </c>
      <c r="I25" t="inlineStr">
        <is>
          <t>reexecucao/execucoes.json; ../../etapa8-fluxo/CENARIOS-30.md</t>
        </is>
      </c>
      <c r="J25" t="inlineStr">
        <is>
          <t>Pendente — responsável não identificado; nenhum aceite registrado</t>
        </is>
      </c>
    </row>
    <row r="26">
      <c r="A26" t="inlineStr">
        <is>
          <t>CT25</t>
        </is>
      </c>
      <c r="B26" t="inlineStr">
        <is>
          <t>§8.4, §7.2, I03, I11, I12</t>
        </is>
      </c>
      <c r="C26" t="inlineStr">
        <is>
          <t>Integralmente aprovado no perímetro isolado</t>
        </is>
      </c>
      <c r="D26" t="inlineStr">
        <is>
          <t>Conforme técnico herdado — conferência independente pendente</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P3.000→R1.000+P2.000→P2.000 após pagamento conciliado. Ocorrência e vínculo imutáveis; reimportações documentadas preservam título e não recriam previsão ou caixa.</t>
        </is>
      </c>
      <c r="H26" t="inlineStr">
        <is>
          <t>Revisar a evidência documental e o perímetro; controles herdados não certificam dados reais, custo econômico nem extrato independente.</t>
        </is>
      </c>
      <c r="I26" t="inlineStr">
        <is>
          <t>reexecucao/casos-obtidos.json; reexecucao/comparacao-integrais.json</t>
        </is>
      </c>
      <c r="J26" t="inlineStr">
        <is>
          <t>Pendente — responsável não identificado; nenhum aceite registrado</t>
        </is>
      </c>
    </row>
    <row r="27">
      <c r="A27" t="inlineStr">
        <is>
          <t>CT26</t>
        </is>
      </c>
      <c r="B27" t="inlineStr">
        <is>
          <t>§2, §4, §11, I22, S2 §5</t>
        </is>
      </c>
      <c r="C27" t="inlineStr">
        <is>
          <t>Integralmente aprovado no perímetro isolado</t>
        </is>
      </c>
      <c r="D27" t="inlineStr">
        <is>
          <t>Conforme técnico herdado — conferência independente pendente</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Paginação completa, falha intermediária e retry passam.</t>
        </is>
      </c>
      <c r="H27" t="inlineStr">
        <is>
          <t>Revisar a evidência documental e o perímetro; controles herdados não certificam dados reais, custo econômico nem extrato independente.</t>
        </is>
      </c>
      <c r="I27" t="inlineStr">
        <is>
          <t>reexecucao/casos-obtidos.json; reexecucao/comparacao-integrais.json</t>
        </is>
      </c>
      <c r="J27" t="inlineStr">
        <is>
          <t>Pendente — responsável não identificado; nenhum aceite registrado</t>
        </is>
      </c>
    </row>
    <row r="28">
      <c r="A28" t="inlineStr">
        <is>
          <t>CT27</t>
        </is>
      </c>
      <c r="B28" t="inlineStr">
        <is>
          <t>§5, §7.1, I01, I10, I12, I13, I14</t>
        </is>
      </c>
      <c r="C28" t="inlineStr">
        <is>
          <t>Parcialmente coberto</t>
        </is>
      </c>
      <c r="D28" t="inlineStr">
        <is>
          <t>Parcialmente coberto</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Pagamento não é adotado como prova suficiente de execução econômica; componentes financeiros existentes reaproveitados.</t>
        </is>
      </c>
      <c r="H28" t="inlineStr">
        <is>
          <t>Faltam recebimento/estoque pago20.000 e consumo8.000 persistidos, conferindo estoque12.000, ETC12.000, EAC20.000, Q0 e zero novo caixa sem somar NF/recebimento/consumo.</t>
        </is>
      </c>
      <c r="I28" t="inlineStr">
        <is>
          <t>reexecucao/execucoes.json; ../../etapa8-fluxo/CENARIOS-30.md</t>
        </is>
      </c>
      <c r="J28" t="inlineStr">
        <is>
          <t>Pendente — responsável não identificado; nenhum aceite registrado</t>
        </is>
      </c>
    </row>
    <row r="29">
      <c r="A29" t="inlineStr">
        <is>
          <t>CT28</t>
        </is>
      </c>
      <c r="B29" t="inlineStr">
        <is>
          <t>§7.1, §12.2, I05, I08, I09, I10, I11, I12, I13, I14</t>
        </is>
      </c>
      <c r="C29" t="inlineStr">
        <is>
          <t>Parcialmente coberto</t>
        </is>
      </c>
      <c r="D29" t="inlineStr">
        <is>
          <t>Parcialmente coberto</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Ledger de adiantamento e componentes R/C/P funcionam separadamente.</t>
        </is>
      </c>
      <c r="H29" t="inlineStr">
        <is>
          <t>Falta cenário conjunto persistido: crédito120.000/aplicação60.000, pagamento100.000, filhos fornecedor/tributo/retenção, escopo P200.000 e custo300.000. Conferir Q1.180.000 e EAC1.400.000; nenhum total conjunto foi presumido.</t>
        </is>
      </c>
      <c r="I29" t="inlineStr">
        <is>
          <t>reexecucao/execucoes.json; ../../etapa8-fluxo/CENARIOS-30.md</t>
        </is>
      </c>
      <c r="J29" t="inlineStr">
        <is>
          <t>Pendente — responsável não identificado; nenhum aceite registrado</t>
        </is>
      </c>
    </row>
    <row r="30">
      <c r="A30" t="inlineStr">
        <is>
          <t>CT29</t>
        </is>
      </c>
      <c r="B30" t="inlineStr">
        <is>
          <t>§12.7, I20, I21, D04</t>
        </is>
      </c>
      <c r="C30" t="inlineStr">
        <is>
          <t>Parcialmente coberto</t>
        </is>
      </c>
      <c r="D30" t="inlineStr">
        <is>
          <t>Parcialmente coberto</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Oráculo puro completo passa: disponível100.000, finais40.000/−30.000 e necessidade50.000.</t>
        </is>
      </c>
      <c r="H30" t="inlineStr">
        <is>
          <t>Falta agenda persistida completa de financiamento com amortização20.000 já nos150.000, restrição documentada20.000 e limite70.000 não sacado, conferida no carregador/tela/IA no mesmo corte.</t>
        </is>
      </c>
      <c r="I30" t="inlineStr">
        <is>
          <t>reexecucao/casos-componentes.json; reexecucao/comparacao-componentes.json</t>
        </is>
      </c>
      <c r="J30" t="inlineStr">
        <is>
          <t>Pendente — responsável não identificado; nenhum aceite registrado</t>
        </is>
      </c>
    </row>
    <row r="31">
      <c r="A31" t="inlineStr">
        <is>
          <t>CT30</t>
        </is>
      </c>
      <c r="B31" t="inlineStr">
        <is>
          <t>§5, §8.1, I02, I03, I09</t>
        </is>
      </c>
      <c r="C31" t="inlineStr">
        <is>
          <t>Integralmente aprovado no perímetro isolado</t>
        </is>
      </c>
      <c r="D31" t="inlineStr">
        <is>
          <t>Conforme técnico herdado — conferência independente pendente</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1.200 não liquida silenciosamente 1.000: excesso 200 exige classificação/evidência. Saldo 0, crédito 200, replay 0 mutações.</t>
        </is>
      </c>
      <c r="H31" t="inlineStr">
        <is>
          <t>Revisar a evidência documental e o perímetro; controles herdados não certificam dados reais, custo econômico nem extrato independente.</t>
        </is>
      </c>
      <c r="I31" t="inlineStr">
        <is>
          <t>reexecucao/casos-obtidos.json; reexecucao/comparacao-integrais.json</t>
        </is>
      </c>
      <c r="J31" t="inlineStr">
        <is>
          <t>Pendente — responsável não identificado; nenhum aceite registrado</t>
        </is>
      </c>
    </row>
  </sheetData>
  <autoFilter ref="A1:J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3" max="3"/>
    <col width="65" customWidth="1" min="11" max="11"/>
    <col width="65" customWidth="1" min="12" max="12"/>
  </cols>
  <sheetData>
    <row r="1">
      <c r="A1" t="inlineStr">
        <is>
          <t>Caso</t>
        </is>
      </c>
      <c r="B1" t="inlineStr">
        <is>
          <t>Estado anterior</t>
        </is>
      </c>
      <c r="C1" t="inlineStr">
        <is>
          <t>Estado atual</t>
        </is>
      </c>
      <c r="D1" t="inlineStr">
        <is>
          <t>Saída bruta</t>
        </is>
      </c>
      <c r="E1" t="inlineStr">
        <is>
          <t>Restituído</t>
        </is>
      </c>
      <c r="F1" t="inlineStr">
        <is>
          <t>Líquido</t>
        </is>
      </c>
      <c r="G1" t="inlineStr">
        <is>
          <t>Direito aberto</t>
        </is>
      </c>
      <c r="H1" t="inlineStr">
        <is>
          <t>Custo</t>
        </is>
      </c>
      <c r="I1" t="inlineStr">
        <is>
          <t>Obrigação contratual</t>
        </is>
      </c>
      <c r="J1" t="inlineStr">
        <is>
          <t>AP reaberto</t>
        </is>
      </c>
      <c r="K1" t="inlineStr">
        <is>
          <t>Evidência</t>
        </is>
      </c>
      <c r="L1" t="inlineStr">
        <is>
          <t>Aceite financeiro</t>
        </is>
      </c>
    </row>
    <row r="2">
      <c r="A2" t="inlineStr">
        <is>
          <t>CT10</t>
        </is>
      </c>
      <c r="B2" t="inlineStr">
        <is>
          <t>Reprovado — restituição não representada</t>
        </is>
      </c>
      <c r="C2" t="inlineStr">
        <is>
          <t>Conforme no cenário isolado — pendente aceite</t>
        </is>
      </c>
      <c r="D2" t="n">
        <v>10000</v>
      </c>
      <c r="E2" t="n">
        <v>6000</v>
      </c>
      <c r="F2" t="n">
        <v>4000</v>
      </c>
      <c r="G2" t="n">
        <v>4000</v>
      </c>
      <c r="H2" t="n">
        <v>0</v>
      </c>
      <c r="I2" t="n">
        <v>0</v>
      </c>
      <c r="J2" t="n">
        <v>0</v>
      </c>
      <c r="K2" t="inlineStr">
        <is>
          <t>etapa10-ct10/evidencias/comparacao-ct10.json; banco.json</t>
        </is>
      </c>
      <c r="L2" t="inlineStr">
        <is>
          <t>Pendente — não preenchido pelo executor</t>
        </is>
      </c>
    </row>
  </sheetData>
  <autoFilter ref="A1:L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2026-10-22T14:50:17Z</dcterms:modified>
</cp:coreProperties>
</file>