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s>
  <definedNames/>
  <calcPr calcId="191029" fullCalcOnLoad="1"/>
</workbook>
</file>

<file path=xl/styles.xml><?xml version="1.0" encoding="utf-8"?>
<styleSheet xmlns="http://schemas.openxmlformats.org/spreadsheetml/2006/main">
  <numFmts count="1">
    <numFmt numFmtId="164" formatCode="dd/mm/yyyy"/>
  </numFmts>
  <fonts count="5">
    <font>
      <name val="Carlito"/>
      <sz val="11"/>
    </font>
    <font>
      <name val="Arial"/>
      <color rgb="FF183B4A"/>
      <sz val="10"/>
    </font>
    <font>
      <name val="Arial"/>
      <b val="1"/>
      <color rgb="FF152D38"/>
      <sz val="15"/>
    </font>
    <font>
      <name val="Arial"/>
      <b val="1"/>
      <color rgb="FFFFFFFF"/>
      <sz val="10"/>
    </font>
    <font>
      <name val="Arial"/>
      <i val="1"/>
      <color rgb="FF526A74"/>
      <sz val="10"/>
    </font>
  </fonts>
  <fills count="4">
    <fill>
      <patternFill/>
    </fill>
    <fill>
      <patternFill patternType="gray125"/>
    </fill>
    <fill>
      <patternFill patternType="solid">
        <fgColor rgb="FF244B5A"/>
      </patternFill>
    </fill>
    <fill>
      <patternFill patternType="solid">
        <fgColor rgb="FFFFF4CE"/>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Não iniciada</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str"/>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str"/>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Não iniciada</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str"/>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str"/>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Não iniciada</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str"/>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str"/>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Não iniciada</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str"/>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str"/>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Não iniciada</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str"/>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str"/>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Não iniciada</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str"/>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str"/>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Não iniciada</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str"/>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str"/>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Não iniciada</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str"/>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str"/>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Não iniciada</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str"/>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str"/>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Não iniciada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str"/>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str"/>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Não iniciada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str"/>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str"/>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Não iniciada</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str"/>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str"/>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Não iniciada</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str"/>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str"/>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Não iniciada</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str"/>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str"/>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Não iniciada</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str"/>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str"/>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Não iniciada</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str"/>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str"/>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Não iniciada</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str"/>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str"/>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Não iniciada</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str"/>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str"/>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Não iniciada</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str"/>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str"/>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Não iniciada</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str"/>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str"/>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Não iniciada</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str"/>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str"/>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Não iniciada</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str"/>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str"/>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Não iniciada</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str"/>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str"/>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Não iniciada</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str"/>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str"/>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Não iniciada</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str"/>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str"/>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Não iniciada</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str"/>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str"/>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Não iniciada</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str"/>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str"/>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Não iniciada</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str"/>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str"/>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Não iniciada</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str"/>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str"/>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Não iniciada</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str"/>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str"/>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Não iniciada</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str"/>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str"/>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Não iniciada</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str"/>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str"/>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Não iniciada</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str"/>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str"/>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Não iniciada</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str"/>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str"/>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Não iniciada</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str"/>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str"/>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Não iniciada</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str"/>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str"/>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Não iniciada</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str"/>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str"/>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Não iniciada</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str"/>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str"/>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Não iniciada</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str"/>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str"/>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Não iniciada</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str"/>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str"/>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Não iniciada</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str"/>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str"/>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Não iniciada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str"/>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str"/>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c r="H10" s="29">
        <f>IF(AND(ISNUMBER(F10),ISNUMBER(G10)),G10-F10,"")</f>
        <v/>
      </c>
      <c r="I10" s="20">
        <f>IF(COUNTBLANK(G10)=1,"Não executado",IF(ISNUMBER(F10)&lt;&gt;ISNUMBER(G10),"Tipo incompatível",IF(IF(E10="&lt;&gt;",G10&lt;&gt;F10,G10=F10),IF(OR(J10="",K10="",NOT(ISNUMBER(L10)),L10&lt;=0),"Evidência pendente","Compatível"),"Divergente")))</f>
        <v/>
      </c>
      <c r="J10" s="23" t="str"/>
      <c r="K10" s="23" t="str"/>
      <c r="L10" s="31" t="n"/>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c r="H11" s="32">
        <f>IF(AND(ISNUMBER(F11),ISNUMBER(G11)),G11-F11,"")</f>
        <v/>
      </c>
      <c r="I11" s="16">
        <f>IF(COUNTBLANK(G11)=1,"Não executado",IF(ISNUMBER(F11)&lt;&gt;ISNUMBER(G11),"Tipo incompatível",IF(IF(E11="&lt;&gt;",G11&lt;&gt;F11,G11=F11),IF(OR(J11="",K11="",NOT(ISNUMBER(L11)),L11&lt;=0),"Evidência pendente","Compatível"),"Divergente")))</f>
        <v/>
      </c>
      <c r="J11" s="12" t="str"/>
      <c r="K11" s="12" t="str"/>
      <c r="L11" s="28" t="n"/>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c r="H12" s="32">
        <f>IF(AND(ISNUMBER(F12),ISNUMBER(G12)),G12-F12,"")</f>
        <v/>
      </c>
      <c r="I12" s="16">
        <f>IF(COUNTBLANK(G12)=1,"Não executado",IF(ISNUMBER(F12)&lt;&gt;ISNUMBER(G12),"Tipo incompatível",IF(IF(E12="&lt;&gt;",G12&lt;&gt;F12,G12=F12),IF(OR(J12="",K12="",NOT(ISNUMBER(L12)),L12&lt;=0),"Evidência pendente","Compatível"),"Divergente")))</f>
        <v/>
      </c>
      <c r="J12" s="12" t="str"/>
      <c r="K12" s="12" t="str"/>
      <c r="L12" s="28" t="n"/>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c r="H13" s="32">
        <f>IF(AND(ISNUMBER(F13),ISNUMBER(G13)),G13-F13,"")</f>
        <v/>
      </c>
      <c r="I13" s="16">
        <f>IF(COUNTBLANK(G13)=1,"Não executado",IF(ISNUMBER(F13)&lt;&gt;ISNUMBER(G13),"Tipo incompatível",IF(IF(E13="&lt;&gt;",G13&lt;&gt;F13,G13=F13),IF(OR(J13="",K13="",NOT(ISNUMBER(L13)),L13&lt;=0),"Evidência pendente","Compatível"),"Divergente")))</f>
        <v/>
      </c>
      <c r="J13" s="12" t="str"/>
      <c r="K13" s="12" t="str"/>
      <c r="L13" s="28" t="n"/>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c r="H14" s="32">
        <f>IF(AND(ISNUMBER(F14),ISNUMBER(G14)),G14-F14,"")</f>
        <v/>
      </c>
      <c r="I14" s="16">
        <f>IF(COUNTBLANK(G14)=1,"Não executado",IF(ISNUMBER(F14)&lt;&gt;ISNUMBER(G14),"Tipo incompatível",IF(IF(E14="&lt;&gt;",G14&lt;&gt;F14,G14=F14),IF(OR(J14="",K14="",NOT(ISNUMBER(L14)),L14&lt;=0),"Evidência pendente","Compatível"),"Divergente")))</f>
        <v/>
      </c>
      <c r="J14" s="12" t="str"/>
      <c r="K14" s="12" t="str"/>
      <c r="L14" s="28" t="n"/>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c r="H15" s="29">
        <f>IF(AND(ISNUMBER(F15),ISNUMBER(G15)),G15-F15,"")</f>
        <v/>
      </c>
      <c r="I15" s="20">
        <f>IF(COUNTBLANK(G15)=1,"Não executado",IF(ISNUMBER(F15)&lt;&gt;ISNUMBER(G15),"Tipo incompatível",IF(IF(E15="&lt;&gt;",G15&lt;&gt;F15,G15=F15),IF(OR(J15="",K15="",NOT(ISNUMBER(L15)),L15&lt;=0),"Evidência pendente","Compatível"),"Divergente")))</f>
        <v/>
      </c>
      <c r="J15" s="23" t="str"/>
      <c r="K15" s="23" t="str"/>
      <c r="L15" s="31" t="n"/>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c r="H16" s="32">
        <f>IF(AND(ISNUMBER(F16),ISNUMBER(G16)),G16-F16,"")</f>
        <v/>
      </c>
      <c r="I16" s="16">
        <f>IF(COUNTBLANK(G16)=1,"Não executado",IF(ISNUMBER(F16)&lt;&gt;ISNUMBER(G16),"Tipo incompatível",IF(IF(E16="&lt;&gt;",G16&lt;&gt;F16,G16=F16),IF(OR(J16="",K16="",NOT(ISNUMBER(L16)),L16&lt;=0),"Evidência pendente","Compatível"),"Divergente")))</f>
        <v/>
      </c>
      <c r="J16" s="12" t="str"/>
      <c r="K16" s="12" t="str"/>
      <c r="L16" s="28" t="n"/>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c r="H17" s="32">
        <f>IF(AND(ISNUMBER(F17),ISNUMBER(G17)),G17-F17,"")</f>
        <v/>
      </c>
      <c r="I17" s="16">
        <f>IF(COUNTBLANK(G17)=1,"Não executado",IF(ISNUMBER(F17)&lt;&gt;ISNUMBER(G17),"Tipo incompatível",IF(IF(E17="&lt;&gt;",G17&lt;&gt;F17,G17=F17),IF(OR(J17="",K17="",NOT(ISNUMBER(L17)),L17&lt;=0),"Evidência pendente","Compatível"),"Divergente")))</f>
        <v/>
      </c>
      <c r="J17" s="12" t="str"/>
      <c r="K17" s="12" t="str"/>
      <c r="L17" s="28" t="n"/>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c r="H18" s="32">
        <f>IF(AND(ISNUMBER(F18),ISNUMBER(G18)),G18-F18,"")</f>
        <v/>
      </c>
      <c r="I18" s="16">
        <f>IF(COUNTBLANK(G18)=1,"Não executado",IF(ISNUMBER(F18)&lt;&gt;ISNUMBER(G18),"Tipo incompatível",IF(IF(E18="&lt;&gt;",G18&lt;&gt;F18,G18=F18),IF(OR(J18="",K18="",NOT(ISNUMBER(L18)),L18&lt;=0),"Evidência pendente","Compatível"),"Divergente")))</f>
        <v/>
      </c>
      <c r="J18" s="12" t="str"/>
      <c r="K18" s="12" t="str"/>
      <c r="L18" s="28" t="n"/>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c r="H19" s="32">
        <f>IF(AND(ISNUMBER(F19),ISNUMBER(G19)),G19-F19,"")</f>
        <v/>
      </c>
      <c r="I19" s="16">
        <f>IF(COUNTBLANK(G19)=1,"Não executado",IF(ISNUMBER(F19)&lt;&gt;ISNUMBER(G19),"Tipo incompatível",IF(IF(E19="&lt;&gt;",G19&lt;&gt;F19,G19=F19),IF(OR(J19="",K19="",NOT(ISNUMBER(L19)),L19&lt;=0),"Evidência pendente","Compatível"),"Divergente")))</f>
        <v/>
      </c>
      <c r="J19" s="12" t="str"/>
      <c r="K19" s="12" t="str"/>
      <c r="L19" s="28" t="n"/>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c r="H20" s="29">
        <f>IF(AND(ISNUMBER(F20),ISNUMBER(G20)),G20-F20,"")</f>
        <v/>
      </c>
      <c r="I20" s="20">
        <f>IF(COUNTBLANK(G20)=1,"Não executado",IF(ISNUMBER(F20)&lt;&gt;ISNUMBER(G20),"Tipo incompatível",IF(IF(E20="&lt;&gt;",G20&lt;&gt;F20,G20=F20),IF(OR(J20="",K20="",NOT(ISNUMBER(L20)),L20&lt;=0),"Evidência pendente","Compatível"),"Divergente")))</f>
        <v/>
      </c>
      <c r="J20" s="23" t="str"/>
      <c r="K20" s="23" t="str"/>
      <c r="L20" s="31" t="n"/>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c r="H21" s="32">
        <f>IF(AND(ISNUMBER(F21),ISNUMBER(G21)),G21-F21,"")</f>
        <v/>
      </c>
      <c r="I21" s="16">
        <f>IF(COUNTBLANK(G21)=1,"Não executado",IF(ISNUMBER(F21)&lt;&gt;ISNUMBER(G21),"Tipo incompatível",IF(IF(E21="&lt;&gt;",G21&lt;&gt;F21,G21=F21),IF(OR(J21="",K21="",NOT(ISNUMBER(L21)),L21&lt;=0),"Evidência pendente","Compatível"),"Divergente")))</f>
        <v/>
      </c>
      <c r="J21" s="12" t="str"/>
      <c r="K21" s="12" t="str"/>
      <c r="L21" s="28" t="n"/>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c r="H22" s="32">
        <f>IF(AND(ISNUMBER(F22),ISNUMBER(G22)),G22-F22,"")</f>
        <v/>
      </c>
      <c r="I22" s="16">
        <f>IF(COUNTBLANK(G22)=1,"Não executado",IF(ISNUMBER(F22)&lt;&gt;ISNUMBER(G22),"Tipo incompatível",IF(IF(E22="&lt;&gt;",G22&lt;&gt;F22,G22=F22),IF(OR(J22="",K22="",NOT(ISNUMBER(L22)),L22&lt;=0),"Evidência pendente","Compatível"),"Divergente")))</f>
        <v/>
      </c>
      <c r="J22" s="12" t="str"/>
      <c r="K22" s="12" t="str"/>
      <c r="L22" s="28" t="n"/>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c r="H23" s="32">
        <f>IF(AND(ISNUMBER(F23),ISNUMBER(G23)),G23-F23,"")</f>
        <v/>
      </c>
      <c r="I23" s="16">
        <f>IF(COUNTBLANK(G23)=1,"Não executado",IF(ISNUMBER(F23)&lt;&gt;ISNUMBER(G23),"Tipo incompatível",IF(IF(E23="&lt;&gt;",G23&lt;&gt;F23,G23=F23),IF(OR(J23="",K23="",NOT(ISNUMBER(L23)),L23&lt;=0),"Evidência pendente","Compatível"),"Divergente")))</f>
        <v/>
      </c>
      <c r="J23" s="12" t="str"/>
      <c r="K23" s="12" t="str"/>
      <c r="L23" s="28" t="n"/>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c r="H24" s="32">
        <f>IF(AND(ISNUMBER(F24),ISNUMBER(G24)),G24-F24,"")</f>
        <v/>
      </c>
      <c r="I24" s="16">
        <f>IF(COUNTBLANK(G24)=1,"Não executado",IF(ISNUMBER(F24)&lt;&gt;ISNUMBER(G24),"Tipo incompatível",IF(IF(E24="&lt;&gt;",G24&lt;&gt;F24,G24=F24),IF(OR(J24="",K24="",NOT(ISNUMBER(L24)),L24&lt;=0),"Evidência pendente","Compatível"),"Divergente")))</f>
        <v/>
      </c>
      <c r="J24" s="12" t="str"/>
      <c r="K24" s="12" t="str"/>
      <c r="L24" s="28" t="n"/>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c r="H25" s="32">
        <f>IF(AND(ISNUMBER(F25),ISNUMBER(G25)),G25-F25,"")</f>
        <v/>
      </c>
      <c r="I25" s="16">
        <f>IF(COUNTBLANK(G25)=1,"Não executado",IF(ISNUMBER(F25)&lt;&gt;ISNUMBER(G25),"Tipo incompatível",IF(IF(E25="&lt;&gt;",G25&lt;&gt;F25,G25=F25),IF(OR(J25="",K25="",NOT(ISNUMBER(L25)),L25&lt;=0),"Evidência pendente","Compatível"),"Divergente")))</f>
        <v/>
      </c>
      <c r="J25" s="12" t="str"/>
      <c r="K25" s="12" t="str"/>
      <c r="L25" s="28" t="n"/>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c r="H26" s="32">
        <f>IF(AND(ISNUMBER(F26),ISNUMBER(G26)),G26-F26,"")</f>
        <v/>
      </c>
      <c r="I26" s="16">
        <f>IF(COUNTBLANK(G26)=1,"Não executado",IF(ISNUMBER(F26)&lt;&gt;ISNUMBER(G26),"Tipo incompatível",IF(IF(E26="&lt;&gt;",G26&lt;&gt;F26,G26=F26),IF(OR(J26="",K26="",NOT(ISNUMBER(L26)),L26&lt;=0),"Evidência pendente","Compatível"),"Divergente")))</f>
        <v/>
      </c>
      <c r="J26" s="12" t="str"/>
      <c r="K26" s="12" t="str"/>
      <c r="L26" s="28" t="n"/>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c r="H88" s="29">
        <f>IF(AND(ISNUMBER(F88),ISNUMBER(G88)),G88-F88,"")</f>
        <v/>
      </c>
      <c r="I88" s="20">
        <f>IF(COUNTBLANK(G88)=1,"Não executado",IF(ISNUMBER(F88)&lt;&gt;ISNUMBER(G88),"Tipo incompatível",IF(IF(E88="&lt;&gt;",G88&lt;&gt;F88,G88=F88),IF(OR(J88="",K88="",NOT(ISNUMBER(L88)),L88&lt;=0),"Evidência pendente","Compatível"),"Divergente")))</f>
        <v/>
      </c>
      <c r="J88" s="23" t="str"/>
      <c r="K88" s="23" t="str"/>
      <c r="L88" s="31" t="n"/>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c r="H89" s="32">
        <f>IF(AND(ISNUMBER(F89),ISNUMBER(G89)),G89-F89,"")</f>
        <v/>
      </c>
      <c r="I89" s="16">
        <f>IF(COUNTBLANK(G89)=1,"Não executado",IF(ISNUMBER(F89)&lt;&gt;ISNUMBER(G89),"Tipo incompatível",IF(IF(E89="&lt;&gt;",G89&lt;&gt;F89,G89=F89),IF(OR(J89="",K89="",NOT(ISNUMBER(L89)),L89&lt;=0),"Evidência pendente","Compatível"),"Divergente")))</f>
        <v/>
      </c>
      <c r="J89" s="12" t="str"/>
      <c r="K89" s="12" t="str"/>
      <c r="L89" s="28" t="n"/>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c r="H90" s="32">
        <f>IF(AND(ISNUMBER(F90),ISNUMBER(G90)),G90-F90,"")</f>
        <v/>
      </c>
      <c r="I90" s="16">
        <f>IF(COUNTBLANK(G90)=1,"Não executado",IF(ISNUMBER(F90)&lt;&gt;ISNUMBER(G90),"Tipo incompatível",IF(IF(E90="&lt;&gt;",G90&lt;&gt;F90,G90=F90),IF(OR(J90="",K90="",NOT(ISNUMBER(L90)),L90&lt;=0),"Evidência pendente","Compatível"),"Divergente")))</f>
        <v/>
      </c>
      <c r="J90" s="12" t="str"/>
      <c r="K90" s="12" t="str"/>
      <c r="L90" s="28" t="n"/>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c r="H91" s="32">
        <f>IF(AND(ISNUMBER(F91),ISNUMBER(G91)),G91-F91,"")</f>
        <v/>
      </c>
      <c r="I91" s="16">
        <f>IF(COUNTBLANK(G91)=1,"Não executado",IF(ISNUMBER(F91)&lt;&gt;ISNUMBER(G91),"Tipo incompatível",IF(IF(E91="&lt;&gt;",G91&lt;&gt;F91,G91=F91),IF(OR(J91="",K91="",NOT(ISNUMBER(L91)),L91&lt;=0),"Evidência pendente","Compatível"),"Divergente")))</f>
        <v/>
      </c>
      <c r="J91" s="12" t="str"/>
      <c r="K91" s="12" t="str"/>
      <c r="L91" s="28" t="n"/>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c r="H92" s="32">
        <f>IF(AND(ISNUMBER(F92),ISNUMBER(G92)),G92-F92,"")</f>
        <v/>
      </c>
      <c r="I92" s="16">
        <f>IF(COUNTBLANK(G92)=1,"Não executado",IF(ISNUMBER(F92)&lt;&gt;ISNUMBER(G92),"Tipo incompatível",IF(IF(E92="&lt;&gt;",G92&lt;&gt;F92,G92=F92),IF(OR(J92="",K92="",NOT(ISNUMBER(L92)),L92&lt;=0),"Evidência pendente","Compatível"),"Divergente")))</f>
        <v/>
      </c>
      <c r="J92" s="12" t="str"/>
      <c r="K92" s="12" t="str"/>
      <c r="L92" s="28" t="n"/>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c r="H93" s="32">
        <f>IF(AND(ISNUMBER(F93),ISNUMBER(G93)),G93-F93,"")</f>
        <v/>
      </c>
      <c r="I93" s="16">
        <f>IF(COUNTBLANK(G93)=1,"Não executado",IF(ISNUMBER(F93)&lt;&gt;ISNUMBER(G93),"Tipo incompatível",IF(IF(E93="&lt;&gt;",G93&lt;&gt;F93,G93=F93),IF(OR(J93="",K93="",NOT(ISNUMBER(L93)),L93&lt;=0),"Evidência pendente","Compatível"),"Divergente")))</f>
        <v/>
      </c>
      <c r="J93" s="12" t="str"/>
      <c r="K93" s="12" t="str"/>
      <c r="L93" s="28" t="n"/>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c r="H94" s="32">
        <f>IF(AND(ISNUMBER(F94),ISNUMBER(G94)),G94-F94,"")</f>
        <v/>
      </c>
      <c r="I94" s="16">
        <f>IF(COUNTBLANK(G94)=1,"Não executado",IF(ISNUMBER(F94)&lt;&gt;ISNUMBER(G94),"Tipo incompatível",IF(IF(E94="&lt;&gt;",G94&lt;&gt;F94,G94=F94),IF(OR(J94="",K94="",NOT(ISNUMBER(L94)),L94&lt;=0),"Evidência pendente","Compatível"),"Divergente")))</f>
        <v/>
      </c>
      <c r="J94" s="12" t="str"/>
      <c r="K94" s="12" t="str"/>
      <c r="L94" s="28" t="n"/>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c r="H95" s="32">
        <f>IF(AND(ISNUMBER(F95),ISNUMBER(G95)),G95-F95,"")</f>
        <v/>
      </c>
      <c r="I95" s="16">
        <f>IF(COUNTBLANK(G95)=1,"Não executado",IF(ISNUMBER(F95)&lt;&gt;ISNUMBER(G95),"Tipo incompatível",IF(IF(E95="&lt;&gt;",G95&lt;&gt;F95,G95=F95),IF(OR(J95="",K95="",NOT(ISNUMBER(L95)),L95&lt;=0),"Evidência pendente","Compatível"),"Divergente")))</f>
        <v/>
      </c>
      <c r="J95" s="12" t="str"/>
      <c r="K95" s="12" t="str"/>
      <c r="L95" s="28" t="n"/>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c r="H96" s="29">
        <f>IF(AND(ISNUMBER(F96),ISNUMBER(G96)),G96-F96,"")</f>
        <v/>
      </c>
      <c r="I96" s="20">
        <f>IF(COUNTBLANK(G96)=1,"Não executado",IF(ISNUMBER(F96)&lt;&gt;ISNUMBER(G96),"Tipo incompatível",IF(IF(E96="&lt;&gt;",G96&lt;&gt;F96,G96=F96),IF(OR(J96="",K96="",NOT(ISNUMBER(L96)),L96&lt;=0),"Evidência pendente","Compatível"),"Divergente")))</f>
        <v/>
      </c>
      <c r="J96" s="23" t="str"/>
      <c r="K96" s="23" t="str"/>
      <c r="L96" s="31" t="n"/>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c r="H97" s="32">
        <f>IF(AND(ISNUMBER(F97),ISNUMBER(G97)),G97-F97,"")</f>
        <v/>
      </c>
      <c r="I97" s="16">
        <f>IF(COUNTBLANK(G97)=1,"Não executado",IF(ISNUMBER(F97)&lt;&gt;ISNUMBER(G97),"Tipo incompatível",IF(IF(E97="&lt;&gt;",G97&lt;&gt;F97,G97=F97),IF(OR(J97="",K97="",NOT(ISNUMBER(L97)),L97&lt;=0),"Evidência pendente","Compatível"),"Divergente")))</f>
        <v/>
      </c>
      <c r="J97" s="12" t="str"/>
      <c r="K97" s="12" t="str"/>
      <c r="L97" s="28" t="n"/>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c r="H98" s="32">
        <f>IF(AND(ISNUMBER(F98),ISNUMBER(G98)),G98-F98,"")</f>
        <v/>
      </c>
      <c r="I98" s="16">
        <f>IF(COUNTBLANK(G98)=1,"Não executado",IF(ISNUMBER(F98)&lt;&gt;ISNUMBER(G98),"Tipo incompatível",IF(IF(E98="&lt;&gt;",G98&lt;&gt;F98,G98=F98),IF(OR(J98="",K98="",NOT(ISNUMBER(L98)),L98&lt;=0),"Evidência pendente","Compatível"),"Divergente")))</f>
        <v/>
      </c>
      <c r="J98" s="12" t="str"/>
      <c r="K98" s="12" t="str"/>
      <c r="L98" s="28" t="n"/>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c r="H99" s="32">
        <f>IF(AND(ISNUMBER(F99),ISNUMBER(G99)),G99-F99,"")</f>
        <v/>
      </c>
      <c r="I99" s="16">
        <f>IF(COUNTBLANK(G99)=1,"Não executado",IF(ISNUMBER(F99)&lt;&gt;ISNUMBER(G99),"Tipo incompatível",IF(IF(E99="&lt;&gt;",G99&lt;&gt;F99,G99=F99),IF(OR(J99="",K99="",NOT(ISNUMBER(L99)),L99&lt;=0),"Evidência pendente","Compatível"),"Divergente")))</f>
        <v/>
      </c>
      <c r="J99" s="12" t="str"/>
      <c r="K99" s="12" t="str"/>
      <c r="L99" s="28" t="n"/>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c r="H100" s="32">
        <f>IF(AND(ISNUMBER(F100),ISNUMBER(G100)),G100-F100,"")</f>
        <v/>
      </c>
      <c r="I100" s="16">
        <f>IF(COUNTBLANK(G100)=1,"Não executado",IF(ISNUMBER(F100)&lt;&gt;ISNUMBER(G100),"Tipo incompatível",IF(IF(E100="&lt;&gt;",G100&lt;&gt;F100,G100=F100),IF(OR(J100="",K100="",NOT(ISNUMBER(L100)),L100&lt;=0),"Evidência pendente","Compatível"),"Divergente")))</f>
        <v/>
      </c>
      <c r="J100" s="12" t="str"/>
      <c r="K100" s="12" t="str"/>
      <c r="L100" s="28" t="n"/>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c r="H101" s="32">
        <f>IF(AND(ISNUMBER(F101),ISNUMBER(G101)),G101-F101,"")</f>
        <v/>
      </c>
      <c r="I101" s="16">
        <f>IF(COUNTBLANK(G101)=1,"Não executado",IF(ISNUMBER(F101)&lt;&gt;ISNUMBER(G101),"Tipo incompatível",IF(IF(E101="&lt;&gt;",G101&lt;&gt;F101,G101=F101),IF(OR(J101="",K101="",NOT(ISNUMBER(L101)),L101&lt;=0),"Evidência pendente","Compatível"),"Divergente")))</f>
        <v/>
      </c>
      <c r="J101" s="12" t="str"/>
      <c r="K101" s="12" t="str"/>
      <c r="L101" s="28" t="n"/>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c r="H102" s="32">
        <f>IF(AND(ISNUMBER(F102),ISNUMBER(G102)),G102-F102,"")</f>
        <v/>
      </c>
      <c r="I102" s="16">
        <f>IF(COUNTBLANK(G102)=1,"Não executado",IF(ISNUMBER(F102)&lt;&gt;ISNUMBER(G102),"Tipo incompatível",IF(IF(E102="&lt;&gt;",G102&lt;&gt;F102,G102=F102),IF(OR(J102="",K102="",NOT(ISNUMBER(L102)),L102&lt;=0),"Evidência pendente","Compatível"),"Divergente")))</f>
        <v/>
      </c>
      <c r="J102" s="12" t="str"/>
      <c r="K102" s="12" t="str"/>
      <c r="L102" s="28" t="n"/>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c r="H103" s="32">
        <f>IF(AND(ISNUMBER(F103),ISNUMBER(G103)),G103-F103,"")</f>
        <v/>
      </c>
      <c r="I103" s="16">
        <f>IF(COUNTBLANK(G103)=1,"Não executado",IF(ISNUMBER(F103)&lt;&gt;ISNUMBER(G103),"Tipo incompatível",IF(IF(E103="&lt;&gt;",G103&lt;&gt;F103,G103=F103),IF(OR(J103="",K103="",NOT(ISNUMBER(L103)),L103&lt;=0),"Evidência pendente","Compatível"),"Divergente")))</f>
        <v/>
      </c>
      <c r="J103" s="12" t="str"/>
      <c r="K103" s="12" t="str"/>
      <c r="L103" s="28" t="n"/>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c r="H104" s="32">
        <f>IF(AND(ISNUMBER(F104),ISNUMBER(G104)),G104-F104,"")</f>
        <v/>
      </c>
      <c r="I104" s="16">
        <f>IF(COUNTBLANK(G104)=1,"Não executado",IF(ISNUMBER(F104)&lt;&gt;ISNUMBER(G104),"Tipo incompatível",IF(IF(E104="&lt;&gt;",G104&lt;&gt;F104,G104=F104),IF(OR(J104="",K104="",NOT(ISNUMBER(L104)),L104&lt;=0),"Evidência pendente","Compatível"),"Divergente")))</f>
        <v/>
      </c>
      <c r="J104" s="12" t="str"/>
      <c r="K104" s="12" t="str"/>
      <c r="L104" s="28" t="n"/>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c r="H105" s="32">
        <f>IF(AND(ISNUMBER(F105),ISNUMBER(G105)),G105-F105,"")</f>
        <v/>
      </c>
      <c r="I105" s="16">
        <f>IF(COUNTBLANK(G105)=1,"Não executado",IF(ISNUMBER(F105)&lt;&gt;ISNUMBER(G105),"Tipo incompatível",IF(IF(E105="&lt;&gt;",G105&lt;&gt;F105,G105=F105),IF(OR(J105="",K105="",NOT(ISNUMBER(L105)),L105&lt;=0),"Evidência pendente","Compatível"),"Divergente")))</f>
        <v/>
      </c>
      <c r="J105" s="12" t="str"/>
      <c r="K105" s="12" t="str"/>
      <c r="L105" s="28" t="n"/>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c r="H106" s="32">
        <f>IF(AND(ISNUMBER(F106),ISNUMBER(G106)),G106-F106,"")</f>
        <v/>
      </c>
      <c r="I106" s="16">
        <f>IF(COUNTBLANK(G106)=1,"Não executado",IF(ISNUMBER(F106)&lt;&gt;ISNUMBER(G106),"Tipo incompatível",IF(IF(E106="&lt;&gt;",G106&lt;&gt;F106,G106=F106),IF(OR(J106="",K106="",NOT(ISNUMBER(L106)),L106&lt;=0),"Evidência pendente","Compatível"),"Divergente")))</f>
        <v/>
      </c>
      <c r="J106" s="12" t="str"/>
      <c r="K106" s="12" t="str"/>
      <c r="L106" s="28" t="n"/>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c r="H107" s="32">
        <f>IF(AND(ISNUMBER(F107),ISNUMBER(G107)),G107-F107,"")</f>
        <v/>
      </c>
      <c r="I107" s="16">
        <f>IF(COUNTBLANK(G107)=1,"Não executado",IF(ISNUMBER(F107)&lt;&gt;ISNUMBER(G107),"Tipo incompatível",IF(IF(E107="&lt;&gt;",G107&lt;&gt;F107,G107=F107),IF(OR(J107="",K107="",NOT(ISNUMBER(L107)),L107&lt;=0),"Evidência pendente","Compatível"),"Divergente")))</f>
        <v/>
      </c>
      <c r="J107" s="12" t="str"/>
      <c r="K107" s="12" t="str"/>
      <c r="L107" s="28" t="n"/>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c r="H108" s="32">
        <f>IF(AND(ISNUMBER(F108),ISNUMBER(G108)),G108-F108,"")</f>
        <v/>
      </c>
      <c r="I108" s="16">
        <f>IF(COUNTBLANK(G108)=1,"Não executado",IF(ISNUMBER(F108)&lt;&gt;ISNUMBER(G108),"Tipo incompatível",IF(IF(E108="&lt;&gt;",G108&lt;&gt;F108,G108=F108),IF(OR(J108="",K108="",NOT(ISNUMBER(L108)),L108&lt;=0),"Evidência pendente","Compatível"),"Divergente")))</f>
        <v/>
      </c>
      <c r="J108" s="12" t="str"/>
      <c r="K108" s="12" t="str"/>
      <c r="L108" s="28" t="n"/>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n"/>
      <c r="H109" s="32">
        <f>IF(AND(ISNUMBER(F109),ISNUMBER(G109)),G109-F109,"")</f>
        <v/>
      </c>
      <c r="I109" s="16">
        <f>IF(COUNTBLANK(G109)=1,"Não executado",IF(ISNUMBER(F109)&lt;&gt;ISNUMBER(G109),"Tipo incompatível",IF(IF(E109="&lt;&gt;",G109&lt;&gt;F109,G109=F109),IF(OR(J109="",K109="",NOT(ISNUMBER(L109)),L109&lt;=0),"Evidência pendente","Compatível"),"Divergente")))</f>
        <v/>
      </c>
      <c r="J109" s="12" t="str"/>
      <c r="K109" s="12" t="str"/>
      <c r="L109" s="28" t="n"/>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c r="H118" s="29">
        <f>IF(AND(ISNUMBER(F118),ISNUMBER(G118)),G118-F118,"")</f>
        <v/>
      </c>
      <c r="I118" s="20">
        <f>IF(COUNTBLANK(G118)=1,"Não executado",IF(ISNUMBER(F118)&lt;&gt;ISNUMBER(G118),"Tipo incompatível",IF(IF(E118="&lt;&gt;",G118&lt;&gt;F118,G118=F118),IF(OR(J118="",K118="",NOT(ISNUMBER(L118)),L118&lt;=0),"Evidência pendente","Compatível"),"Divergente")))</f>
        <v/>
      </c>
      <c r="J118" s="23" t="str"/>
      <c r="K118" s="23" t="str"/>
      <c r="L118" s="31" t="n"/>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c r="H119" s="32">
        <f>IF(AND(ISNUMBER(F119),ISNUMBER(G119)),G119-F119,"")</f>
        <v/>
      </c>
      <c r="I119" s="16">
        <f>IF(COUNTBLANK(G119)=1,"Não executado",IF(ISNUMBER(F119)&lt;&gt;ISNUMBER(G119),"Tipo incompatível",IF(IF(E119="&lt;&gt;",G119&lt;&gt;F119,G119=F119),IF(OR(J119="",K119="",NOT(ISNUMBER(L119)),L119&lt;=0),"Evidência pendente","Compatível"),"Divergente")))</f>
        <v/>
      </c>
      <c r="J119" s="12" t="str"/>
      <c r="K119" s="12" t="str"/>
      <c r="L119" s="28" t="n"/>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c r="H120" s="32">
        <f>IF(AND(ISNUMBER(F120),ISNUMBER(G120)),G120-F120,"")</f>
        <v/>
      </c>
      <c r="I120" s="16">
        <f>IF(COUNTBLANK(G120)=1,"Não executado",IF(ISNUMBER(F120)&lt;&gt;ISNUMBER(G120),"Tipo incompatível",IF(IF(E120="&lt;&gt;",G120&lt;&gt;F120,G120=F120),IF(OR(J120="",K120="",NOT(ISNUMBER(L120)),L120&lt;=0),"Evidência pendente","Compatível"),"Divergente")))</f>
        <v/>
      </c>
      <c r="J120" s="12" t="str"/>
      <c r="K120" s="12" t="str"/>
      <c r="L120" s="28" t="n"/>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c r="H121" s="32">
        <f>IF(AND(ISNUMBER(F121),ISNUMBER(G121)),G121-F121,"")</f>
        <v/>
      </c>
      <c r="I121" s="16">
        <f>IF(COUNTBLANK(G121)=1,"Não executado",IF(ISNUMBER(F121)&lt;&gt;ISNUMBER(G121),"Tipo incompatível",IF(IF(E121="&lt;&gt;",G121&lt;&gt;F121,G121=F121),IF(OR(J121="",K121="",NOT(ISNUMBER(L121)),L121&lt;=0),"Evidência pendente","Compatível"),"Divergente")))</f>
        <v/>
      </c>
      <c r="J121" s="12" t="str"/>
      <c r="K121" s="12" t="str"/>
      <c r="L121" s="28" t="n"/>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c r="H122" s="32">
        <f>IF(AND(ISNUMBER(F122),ISNUMBER(G122)),G122-F122,"")</f>
        <v/>
      </c>
      <c r="I122" s="16">
        <f>IF(COUNTBLANK(G122)=1,"Não executado",IF(ISNUMBER(F122)&lt;&gt;ISNUMBER(G122),"Tipo incompatível",IF(IF(E122="&lt;&gt;",G122&lt;&gt;F122,G122=F122),IF(OR(J122="",K122="",NOT(ISNUMBER(L122)),L122&lt;=0),"Evidência pendente","Compatível"),"Divergente")))</f>
        <v/>
      </c>
      <c r="J122" s="12" t="str"/>
      <c r="K122" s="12" t="str"/>
      <c r="L122" s="28" t="n"/>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c r="H123" s="32">
        <f>IF(AND(ISNUMBER(F123),ISNUMBER(G123)),G123-F123,"")</f>
        <v/>
      </c>
      <c r="I123" s="16">
        <f>IF(COUNTBLANK(G123)=1,"Não executado",IF(ISNUMBER(F123)&lt;&gt;ISNUMBER(G123),"Tipo incompatível",IF(IF(E123="&lt;&gt;",G123&lt;&gt;F123,G123=F123),IF(OR(J123="",K123="",NOT(ISNUMBER(L123)),L123&lt;=0),"Evidência pendente","Compatível"),"Divergente")))</f>
        <v/>
      </c>
      <c r="J123" s="12" t="str"/>
      <c r="K123" s="12" t="str"/>
      <c r="L123" s="28" t="n"/>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c r="H124" s="32">
        <f>IF(AND(ISNUMBER(F124),ISNUMBER(G124)),G124-F124,"")</f>
        <v/>
      </c>
      <c r="I124" s="16">
        <f>IF(COUNTBLANK(G124)=1,"Não executado",IF(ISNUMBER(F124)&lt;&gt;ISNUMBER(G124),"Tipo incompatível",IF(IF(E124="&lt;&gt;",G124&lt;&gt;F124,G124=F124),IF(OR(J124="",K124="",NOT(ISNUMBER(L124)),L124&lt;=0),"Evidência pendente","Compatível"),"Divergente")))</f>
        <v/>
      </c>
      <c r="J124" s="12" t="str"/>
      <c r="K124" s="12" t="str"/>
      <c r="L124" s="28" t="n"/>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c r="H125" s="32">
        <f>IF(AND(ISNUMBER(F125),ISNUMBER(G125)),G125-F125,"")</f>
        <v/>
      </c>
      <c r="I125" s="16">
        <f>IF(COUNTBLANK(G125)=1,"Não executado",IF(ISNUMBER(F125)&lt;&gt;ISNUMBER(G125),"Tipo incompatível",IF(IF(E125="&lt;&gt;",G125&lt;&gt;F125,G125=F125),IF(OR(J125="",K125="",NOT(ISNUMBER(L125)),L125&lt;=0),"Evidência pendente","Compatível"),"Divergente")))</f>
        <v/>
      </c>
      <c r="J125" s="12" t="str"/>
      <c r="K125" s="12" t="str"/>
      <c r="L125" s="28" t="n"/>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c r="H126" s="32">
        <f>IF(AND(ISNUMBER(F126),ISNUMBER(G126)),G126-F126,"")</f>
        <v/>
      </c>
      <c r="I126" s="16">
        <f>IF(COUNTBLANK(G126)=1,"Não executado",IF(ISNUMBER(F126)&lt;&gt;ISNUMBER(G126),"Tipo incompatível",IF(IF(E126="&lt;&gt;",G126&lt;&gt;F126,G126=F126),IF(OR(J126="",K126="",NOT(ISNUMBER(L126)),L126&lt;=0),"Evidência pendente","Compatível"),"Divergente")))</f>
        <v/>
      </c>
      <c r="J126" s="12" t="str"/>
      <c r="K126" s="12" t="str"/>
      <c r="L126" s="28" t="n"/>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c r="H127" s="32">
        <f>IF(AND(ISNUMBER(F127),ISNUMBER(G127)),G127-F127,"")</f>
        <v/>
      </c>
      <c r="I127" s="16">
        <f>IF(COUNTBLANK(G127)=1,"Não executado",IF(ISNUMBER(F127)&lt;&gt;ISNUMBER(G127),"Tipo incompatível",IF(IF(E127="&lt;&gt;",G127&lt;&gt;F127,G127=F127),IF(OR(J127="",K127="",NOT(ISNUMBER(L127)),L127&lt;=0),"Evidência pendente","Compatível"),"Divergente")))</f>
        <v/>
      </c>
      <c r="J127" s="12" t="str"/>
      <c r="K127" s="12" t="str"/>
      <c r="L127" s="28" t="n"/>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c r="H128" s="32">
        <f>IF(AND(ISNUMBER(F128),ISNUMBER(G128)),G128-F128,"")</f>
        <v/>
      </c>
      <c r="I128" s="16">
        <f>IF(COUNTBLANK(G128)=1,"Não executado",IF(ISNUMBER(F128)&lt;&gt;ISNUMBER(G128),"Tipo incompatível",IF(IF(E128="&lt;&gt;",G128&lt;&gt;F128,G128=F128),IF(OR(J128="",K128="",NOT(ISNUMBER(L128)),L128&lt;=0),"Evidência pendente","Compatível"),"Divergente")))</f>
        <v/>
      </c>
      <c r="J128" s="12" t="str"/>
      <c r="K128" s="12" t="str"/>
      <c r="L128" s="28" t="n"/>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c r="H140" s="29">
        <f>IF(AND(ISNUMBER(F140),ISNUMBER(G140)),G140-F140,"")</f>
        <v/>
      </c>
      <c r="I140" s="20">
        <f>IF(COUNTBLANK(G140)=1,"Não executado",IF(ISNUMBER(F140)&lt;&gt;ISNUMBER(G140),"Tipo incompatível",IF(IF(E140="&lt;&gt;",G140&lt;&gt;F140,G140=F140),IF(OR(J140="",K140="",NOT(ISNUMBER(L140)),L140&lt;=0),"Evidência pendente","Compatível"),"Divergente")))</f>
        <v/>
      </c>
      <c r="J140" s="23" t="str"/>
      <c r="K140" s="23" t="str"/>
      <c r="L140" s="31" t="n"/>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c r="H141" s="32">
        <f>IF(AND(ISNUMBER(F141),ISNUMBER(G141)),G141-F141,"")</f>
        <v/>
      </c>
      <c r="I141" s="16">
        <f>IF(COUNTBLANK(G141)=1,"Não executado",IF(ISNUMBER(F141)&lt;&gt;ISNUMBER(G141),"Tipo incompatível",IF(IF(E141="&lt;&gt;",G141&lt;&gt;F141,G141=F141),IF(OR(J141="",K141="",NOT(ISNUMBER(L141)),L141&lt;=0),"Evidência pendente","Compatível"),"Divergente")))</f>
        <v/>
      </c>
      <c r="J141" s="12" t="str"/>
      <c r="K141" s="12" t="str"/>
      <c r="L141" s="28" t="n"/>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c r="H142" s="32">
        <f>IF(AND(ISNUMBER(F142),ISNUMBER(G142)),G142-F142,"")</f>
        <v/>
      </c>
      <c r="I142" s="16">
        <f>IF(COUNTBLANK(G142)=1,"Não executado",IF(ISNUMBER(F142)&lt;&gt;ISNUMBER(G142),"Tipo incompatível",IF(IF(E142="&lt;&gt;",G142&lt;&gt;F142,G142=F142),IF(OR(J142="",K142="",NOT(ISNUMBER(L142)),L142&lt;=0),"Evidência pendente","Compatível"),"Divergente")))</f>
        <v/>
      </c>
      <c r="J142" s="12" t="str"/>
      <c r="K142" s="12" t="str"/>
      <c r="L142" s="28" t="n"/>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c r="H143" s="32">
        <f>IF(AND(ISNUMBER(F143),ISNUMBER(G143)),G143-F143,"")</f>
        <v/>
      </c>
      <c r="I143" s="16">
        <f>IF(COUNTBLANK(G143)=1,"Não executado",IF(ISNUMBER(F143)&lt;&gt;ISNUMBER(G143),"Tipo incompatível",IF(IF(E143="&lt;&gt;",G143&lt;&gt;F143,G143=F143),IF(OR(J143="",K143="",NOT(ISNUMBER(L143)),L143&lt;=0),"Evidência pendente","Compatível"),"Divergente")))</f>
        <v/>
      </c>
      <c r="J143" s="12" t="str"/>
      <c r="K143" s="12" t="str"/>
      <c r="L143" s="28" t="n"/>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c r="H144" s="32">
        <f>IF(AND(ISNUMBER(F144),ISNUMBER(G144)),G144-F144,"")</f>
        <v/>
      </c>
      <c r="I144" s="16">
        <f>IF(COUNTBLANK(G144)=1,"Não executado",IF(ISNUMBER(F144)&lt;&gt;ISNUMBER(G144),"Tipo incompatível",IF(IF(E144="&lt;&gt;",G144&lt;&gt;F144,G144=F144),IF(OR(J144="",K144="",NOT(ISNUMBER(L144)),L144&lt;=0),"Evidência pendente","Compatível"),"Divergente")))</f>
        <v/>
      </c>
      <c r="J144" s="12" t="str"/>
      <c r="K144" s="12" t="str"/>
      <c r="L144" s="28" t="n"/>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c r="H145" s="32">
        <f>IF(AND(ISNUMBER(F145),ISNUMBER(G145)),G145-F145,"")</f>
        <v/>
      </c>
      <c r="I145" s="16">
        <f>IF(COUNTBLANK(G145)=1,"Não executado",IF(ISNUMBER(F145)&lt;&gt;ISNUMBER(G145),"Tipo incompatível",IF(IF(E145="&lt;&gt;",G145&lt;&gt;F145,G145=F145),IF(OR(J145="",K145="",NOT(ISNUMBER(L145)),L145&lt;=0),"Evidência pendente","Compatível"),"Divergente")))</f>
        <v/>
      </c>
      <c r="J145" s="12" t="str"/>
      <c r="K145" s="12" t="str"/>
      <c r="L145" s="28" t="n"/>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c r="H146" s="32">
        <f>IF(AND(ISNUMBER(F146),ISNUMBER(G146)),G146-F146,"")</f>
        <v/>
      </c>
      <c r="I146" s="16">
        <f>IF(COUNTBLANK(G146)=1,"Não executado",IF(ISNUMBER(F146)&lt;&gt;ISNUMBER(G146),"Tipo incompatível",IF(IF(E146="&lt;&gt;",G146&lt;&gt;F146,G146=F146),IF(OR(J146="",K146="",NOT(ISNUMBER(L146)),L146&lt;=0),"Evidência pendente","Compatível"),"Divergente")))</f>
        <v/>
      </c>
      <c r="J146" s="12" t="str"/>
      <c r="K146" s="12" t="str"/>
      <c r="L146" s="28" t="n"/>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c r="H147" s="32">
        <f>IF(AND(ISNUMBER(F147),ISNUMBER(G147)),G147-F147,"")</f>
        <v/>
      </c>
      <c r="I147" s="16">
        <f>IF(COUNTBLANK(G147)=1,"Não executado",IF(ISNUMBER(F147)&lt;&gt;ISNUMBER(G147),"Tipo incompatível",IF(IF(E147="&lt;&gt;",G147&lt;&gt;F147,G147=F147),IF(OR(J147="",K147="",NOT(ISNUMBER(L147)),L147&lt;=0),"Evidência pendente","Compatível"),"Divergente")))</f>
        <v/>
      </c>
      <c r="J147" s="12" t="str"/>
      <c r="K147" s="12" t="str"/>
      <c r="L147" s="28" t="n"/>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c r="H148" s="32">
        <f>IF(AND(ISNUMBER(F148),ISNUMBER(G148)),G148-F148,"")</f>
        <v/>
      </c>
      <c r="I148" s="16">
        <f>IF(COUNTBLANK(G148)=1,"Não executado",IF(ISNUMBER(F148)&lt;&gt;ISNUMBER(G148),"Tipo incompatível",IF(IF(E148="&lt;&gt;",G148&lt;&gt;F148,G148=F148),IF(OR(J148="",K148="",NOT(ISNUMBER(L148)),L148&lt;=0),"Evidência pendente","Compatível"),"Divergente")))</f>
        <v/>
      </c>
      <c r="J148" s="12" t="str"/>
      <c r="K148" s="12" t="str"/>
      <c r="L148" s="28" t="n"/>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c r="H149" s="32">
        <f>IF(AND(ISNUMBER(F149),ISNUMBER(G149)),G149-F149,"")</f>
        <v/>
      </c>
      <c r="I149" s="16">
        <f>IF(COUNTBLANK(G149)=1,"Não executado",IF(ISNUMBER(F149)&lt;&gt;ISNUMBER(G149),"Tipo incompatível",IF(IF(E149="&lt;&gt;",G149&lt;&gt;F149,G149=F149),IF(OR(J149="",K149="",NOT(ISNUMBER(L149)),L149&lt;=0),"Evidência pendente","Compatível"),"Divergente")))</f>
        <v/>
      </c>
      <c r="J149" s="12" t="str"/>
      <c r="K149" s="12" t="str"/>
      <c r="L149" s="28" t="n"/>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c r="H150" s="32">
        <f>IF(AND(ISNUMBER(F150),ISNUMBER(G150)),G150-F150,"")</f>
        <v/>
      </c>
      <c r="I150" s="16">
        <f>IF(COUNTBLANK(G150)=1,"Não executado",IF(ISNUMBER(F150)&lt;&gt;ISNUMBER(G150),"Tipo incompatível",IF(IF(E150="&lt;&gt;",G150&lt;&gt;F150,G150=F150),IF(OR(J150="",K150="",NOT(ISNUMBER(L150)),L150&lt;=0),"Evidência pendente","Compatível"),"Divergente")))</f>
        <v/>
      </c>
      <c r="J150" s="12" t="str"/>
      <c r="K150" s="12" t="str"/>
      <c r="L150" s="28" t="n"/>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c r="H151" s="34">
        <f>IF(AND(ISNUMBER(F151),ISNUMBER(G151)),G151-F151,"")</f>
        <v/>
      </c>
      <c r="I151" s="16">
        <f>IF(COUNTBLANK(G151)=1,"Não executado",IF(ISNUMBER(F151)&lt;&gt;ISNUMBER(G151),"Tipo incompatível",IF(IF(E151="&lt;&gt;",G151&lt;&gt;F151,G151=F151),IF(OR(J151="",K151="",NOT(ISNUMBER(L151)),L151&lt;=0),"Evidência pendente","Compatível"),"Divergente")))</f>
        <v/>
      </c>
      <c r="J151" s="12" t="str"/>
      <c r="K151" s="12" t="str"/>
      <c r="L151" s="28" t="n"/>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n"/>
      <c r="H152" s="32">
        <f>IF(AND(ISNUMBER(F152),ISNUMBER(G152)),G152-F152,"")</f>
        <v/>
      </c>
      <c r="I152" s="16">
        <f>IF(COUNTBLANK(G152)=1,"Não executado",IF(ISNUMBER(F152)&lt;&gt;ISNUMBER(G152),"Tipo incompatível",IF(IF(E152="&lt;&gt;",G152&lt;&gt;F152,G152=F152),IF(OR(J152="",K152="",NOT(ISNUMBER(L152)),L152&lt;=0),"Evidência pendente","Compatível"),"Divergente")))</f>
        <v/>
      </c>
      <c r="J152" s="12" t="str"/>
      <c r="K152" s="12" t="str"/>
      <c r="L152" s="28" t="n"/>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c r="H153" s="29">
        <f>IF(AND(ISNUMBER(F153),ISNUMBER(G153)),G153-F153,"")</f>
        <v/>
      </c>
      <c r="I153" s="20">
        <f>IF(COUNTBLANK(G153)=1,"Não executado",IF(ISNUMBER(F153)&lt;&gt;ISNUMBER(G153),"Tipo incompatível",IF(IF(E153="&lt;&gt;",G153&lt;&gt;F153,G153=F153),IF(OR(J153="",K153="",NOT(ISNUMBER(L153)),L153&lt;=0),"Evidência pendente","Compatível"),"Divergente")))</f>
        <v/>
      </c>
      <c r="J153" s="23" t="str"/>
      <c r="K153" s="23" t="str"/>
      <c r="L153" s="31" t="n"/>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c r="H154" s="32">
        <f>IF(AND(ISNUMBER(F154),ISNUMBER(G154)),G154-F154,"")</f>
        <v/>
      </c>
      <c r="I154" s="16">
        <f>IF(COUNTBLANK(G154)=1,"Não executado",IF(ISNUMBER(F154)&lt;&gt;ISNUMBER(G154),"Tipo incompatível",IF(IF(E154="&lt;&gt;",G154&lt;&gt;F154,G154=F154),IF(OR(J154="",K154="",NOT(ISNUMBER(L154)),L154&lt;=0),"Evidência pendente","Compatível"),"Divergente")))</f>
        <v/>
      </c>
      <c r="J154" s="12" t="str"/>
      <c r="K154" s="12" t="str"/>
      <c r="L154" s="28" t="n"/>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c r="H155" s="32">
        <f>IF(AND(ISNUMBER(F155),ISNUMBER(G155)),G155-F155,"")</f>
        <v/>
      </c>
      <c r="I155" s="16">
        <f>IF(COUNTBLANK(G155)=1,"Não executado",IF(ISNUMBER(F155)&lt;&gt;ISNUMBER(G155),"Tipo incompatível",IF(IF(E155="&lt;&gt;",G155&lt;&gt;F155,G155=F155),IF(OR(J155="",K155="",NOT(ISNUMBER(L155)),L155&lt;=0),"Evidência pendente","Compatível"),"Divergente")))</f>
        <v/>
      </c>
      <c r="J155" s="12" t="str"/>
      <c r="K155" s="12" t="str"/>
      <c r="L155" s="28" t="n"/>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c r="H156" s="32">
        <f>IF(AND(ISNUMBER(F156),ISNUMBER(G156)),G156-F156,"")</f>
        <v/>
      </c>
      <c r="I156" s="16">
        <f>IF(COUNTBLANK(G156)=1,"Não executado",IF(ISNUMBER(F156)&lt;&gt;ISNUMBER(G156),"Tipo incompatível",IF(IF(E156="&lt;&gt;",G156&lt;&gt;F156,G156=F156),IF(OR(J156="",K156="",NOT(ISNUMBER(L156)),L156&lt;=0),"Evidência pendente","Compatível"),"Divergente")))</f>
        <v/>
      </c>
      <c r="J156" s="12" t="str"/>
      <c r="K156" s="12" t="str"/>
      <c r="L156" s="28" t="n"/>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c r="H157" s="32">
        <f>IF(AND(ISNUMBER(F157),ISNUMBER(G157)),G157-F157,"")</f>
        <v/>
      </c>
      <c r="I157" s="16">
        <f>IF(COUNTBLANK(G157)=1,"Não executado",IF(ISNUMBER(F157)&lt;&gt;ISNUMBER(G157),"Tipo incompatível",IF(IF(E157="&lt;&gt;",G157&lt;&gt;F157,G157=F157),IF(OR(J157="",K157="",NOT(ISNUMBER(L157)),L157&lt;=0),"Evidência pendente","Compatível"),"Divergente")))</f>
        <v/>
      </c>
      <c r="J157" s="12" t="str"/>
      <c r="K157" s="12" t="str"/>
      <c r="L157" s="28" t="n"/>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c r="H158" s="34">
        <f>IF(AND(ISNUMBER(F158),ISNUMBER(G158)),G158-F158,"")</f>
        <v/>
      </c>
      <c r="I158" s="16">
        <f>IF(COUNTBLANK(G158)=1,"Não executado",IF(ISNUMBER(F158)&lt;&gt;ISNUMBER(G158),"Tipo incompatível",IF(IF(E158="&lt;&gt;",G158&lt;&gt;F158,G158=F158),IF(OR(J158="",K158="",NOT(ISNUMBER(L158)),L158&lt;=0),"Evidência pendente","Compatível"),"Divergente")))</f>
        <v/>
      </c>
      <c r="J158" s="12" t="str"/>
      <c r="K158" s="12" t="str"/>
      <c r="L158" s="28" t="n"/>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c r="H159" s="29">
        <f>IF(AND(ISNUMBER(F159),ISNUMBER(G159)),G159-F159,"")</f>
        <v/>
      </c>
      <c r="I159" s="20">
        <f>IF(COUNTBLANK(G159)=1,"Não executado",IF(ISNUMBER(F159)&lt;&gt;ISNUMBER(G159),"Tipo incompatível",IF(IF(E159="&lt;&gt;",G159&lt;&gt;F159,G159=F159),IF(OR(J159="",K159="",NOT(ISNUMBER(L159)),L159&lt;=0),"Evidência pendente","Compatível"),"Divergente")))</f>
        <v/>
      </c>
      <c r="J159" s="23" t="str"/>
      <c r="K159" s="23" t="str"/>
      <c r="L159" s="31" t="n"/>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c r="H160" s="32">
        <f>IF(AND(ISNUMBER(F160),ISNUMBER(G160)),G160-F160,"")</f>
        <v/>
      </c>
      <c r="I160" s="16">
        <f>IF(COUNTBLANK(G160)=1,"Não executado",IF(ISNUMBER(F160)&lt;&gt;ISNUMBER(G160),"Tipo incompatível",IF(IF(E160="&lt;&gt;",G160&lt;&gt;F160,G160=F160),IF(OR(J160="",K160="",NOT(ISNUMBER(L160)),L160&lt;=0),"Evidência pendente","Compatível"),"Divergente")))</f>
        <v/>
      </c>
      <c r="J160" s="12" t="str"/>
      <c r="K160" s="12" t="str"/>
      <c r="L160" s="28" t="n"/>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c r="H161" s="32">
        <f>IF(AND(ISNUMBER(F161),ISNUMBER(G161)),G161-F161,"")</f>
        <v/>
      </c>
      <c r="I161" s="16">
        <f>IF(COUNTBLANK(G161)=1,"Não executado",IF(ISNUMBER(F161)&lt;&gt;ISNUMBER(G161),"Tipo incompatível",IF(IF(E161="&lt;&gt;",G161&lt;&gt;F161,G161=F161),IF(OR(J161="",K161="",NOT(ISNUMBER(L161)),L161&lt;=0),"Evidência pendente","Compatível"),"Divergente")))</f>
        <v/>
      </c>
      <c r="J161" s="12" t="str"/>
      <c r="K161" s="12" t="str"/>
      <c r="L161" s="28" t="n"/>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c r="H162" s="32">
        <f>IF(AND(ISNUMBER(F162),ISNUMBER(G162)),G162-F162,"")</f>
        <v/>
      </c>
      <c r="I162" s="16">
        <f>IF(COUNTBLANK(G162)=1,"Não executado",IF(ISNUMBER(F162)&lt;&gt;ISNUMBER(G162),"Tipo incompatível",IF(IF(E162="&lt;&gt;",G162&lt;&gt;F162,G162=F162),IF(OR(J162="",K162="",NOT(ISNUMBER(L162)),L162&lt;=0),"Evidência pendente","Compatível"),"Divergente")))</f>
        <v/>
      </c>
      <c r="J162" s="12" t="str"/>
      <c r="K162" s="12" t="str"/>
      <c r="L162" s="28" t="n"/>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c r="H163" s="32">
        <f>IF(AND(ISNUMBER(F163),ISNUMBER(G163)),G163-F163,"")</f>
        <v/>
      </c>
      <c r="I163" s="16">
        <f>IF(COUNTBLANK(G163)=1,"Não executado",IF(ISNUMBER(F163)&lt;&gt;ISNUMBER(G163),"Tipo incompatível",IF(IF(E163="&lt;&gt;",G163&lt;&gt;F163,G163=F163),IF(OR(J163="",K163="",NOT(ISNUMBER(L163)),L163&lt;=0),"Evidência pendente","Compatível"),"Divergente")))</f>
        <v/>
      </c>
      <c r="J163" s="12" t="str"/>
      <c r="K163" s="12" t="str"/>
      <c r="L163" s="28" t="n"/>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c r="H164" s="32">
        <f>IF(AND(ISNUMBER(F164),ISNUMBER(G164)),G164-F164,"")</f>
        <v/>
      </c>
      <c r="I164" s="16">
        <f>IF(COUNTBLANK(G164)=1,"Não executado",IF(ISNUMBER(F164)&lt;&gt;ISNUMBER(G164),"Tipo incompatível",IF(IF(E164="&lt;&gt;",G164&lt;&gt;F164,G164=F164),IF(OR(J164="",K164="",NOT(ISNUMBER(L164)),L164&lt;=0),"Evidência pendente","Compatível"),"Divergente")))</f>
        <v/>
      </c>
      <c r="J164" s="12" t="str"/>
      <c r="K164" s="12" t="str"/>
      <c r="L164" s="28" t="n"/>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c r="H165" s="32">
        <f>IF(AND(ISNUMBER(F165),ISNUMBER(G165)),G165-F165,"")</f>
        <v/>
      </c>
      <c r="I165" s="16">
        <f>IF(COUNTBLANK(G165)=1,"Não executado",IF(ISNUMBER(F165)&lt;&gt;ISNUMBER(G165),"Tipo incompatível",IF(IF(E165="&lt;&gt;",G165&lt;&gt;F165,G165=F165),IF(OR(J165="",K165="",NOT(ISNUMBER(L165)),L165&lt;=0),"Evidência pendente","Compatível"),"Divergente")))</f>
        <v/>
      </c>
      <c r="J165" s="12" t="str"/>
      <c r="K165" s="12" t="str"/>
      <c r="L165" s="28" t="n"/>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c r="H166" s="32">
        <f>IF(AND(ISNUMBER(F166),ISNUMBER(G166)),G166-F166,"")</f>
        <v/>
      </c>
      <c r="I166" s="16">
        <f>IF(COUNTBLANK(G166)=1,"Não executado",IF(ISNUMBER(F166)&lt;&gt;ISNUMBER(G166),"Tipo incompatível",IF(IF(E166="&lt;&gt;",G166&lt;&gt;F166,G166=F166),IF(OR(J166="",K166="",NOT(ISNUMBER(L166)),L166&lt;=0),"Evidência pendente","Compatível"),"Divergente")))</f>
        <v/>
      </c>
      <c r="J166" s="12" t="str"/>
      <c r="K166" s="12" t="str"/>
      <c r="L166" s="28" t="n"/>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c r="H167" s="32">
        <f>IF(AND(ISNUMBER(F167),ISNUMBER(G167)),G167-F167,"")</f>
        <v/>
      </c>
      <c r="I167" s="16">
        <f>IF(COUNTBLANK(G167)=1,"Não executado",IF(ISNUMBER(F167)&lt;&gt;ISNUMBER(G167),"Tipo incompatível",IF(IF(E167="&lt;&gt;",G167&lt;&gt;F167,G167=F167),IF(OR(J167="",K167="",NOT(ISNUMBER(L167)),L167&lt;=0),"Evidência pendente","Compatível"),"Divergente")))</f>
        <v/>
      </c>
      <c r="J167" s="12" t="str"/>
      <c r="K167" s="12" t="str"/>
      <c r="L167" s="28" t="n"/>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c r="H168" s="29">
        <f>IF(AND(ISNUMBER(F168),ISNUMBER(G168)),G168-F168,"")</f>
        <v/>
      </c>
      <c r="I168" s="20">
        <f>IF(COUNTBLANK(G168)=1,"Não executado",IF(ISNUMBER(F168)&lt;&gt;ISNUMBER(G168),"Tipo incompatível",IF(IF(E168="&lt;&gt;",G168&lt;&gt;F168,G168=F168),IF(OR(J168="",K168="",NOT(ISNUMBER(L168)),L168&lt;=0),"Evidência pendente","Compatível"),"Divergente")))</f>
        <v/>
      </c>
      <c r="J168" s="23" t="str"/>
      <c r="K168" s="23" t="str"/>
      <c r="L168" s="31" t="n"/>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c r="H169" s="32">
        <f>IF(AND(ISNUMBER(F169),ISNUMBER(G169)),G169-F169,"")</f>
        <v/>
      </c>
      <c r="I169" s="16">
        <f>IF(COUNTBLANK(G169)=1,"Não executado",IF(ISNUMBER(F169)&lt;&gt;ISNUMBER(G169),"Tipo incompatível",IF(IF(E169="&lt;&gt;",G169&lt;&gt;F169,G169=F169),IF(OR(J169="",K169="",NOT(ISNUMBER(L169)),L169&lt;=0),"Evidência pendente","Compatível"),"Divergente")))</f>
        <v/>
      </c>
      <c r="J169" s="12" t="str"/>
      <c r="K169" s="12" t="str"/>
      <c r="L169" s="28" t="n"/>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c r="H170" s="32">
        <f>IF(AND(ISNUMBER(F170),ISNUMBER(G170)),G170-F170,"")</f>
        <v/>
      </c>
      <c r="I170" s="16">
        <f>IF(COUNTBLANK(G170)=1,"Não executado",IF(ISNUMBER(F170)&lt;&gt;ISNUMBER(G170),"Tipo incompatível",IF(IF(E170="&lt;&gt;",G170&lt;&gt;F170,G170=F170),IF(OR(J170="",K170="",NOT(ISNUMBER(L170)),L170&lt;=0),"Evidência pendente","Compatível"),"Divergente")))</f>
        <v/>
      </c>
      <c r="J170" s="12" t="str"/>
      <c r="K170" s="12" t="str"/>
      <c r="L170" s="28" t="n"/>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c r="H171" s="32">
        <f>IF(AND(ISNUMBER(F171),ISNUMBER(G171)),G171-F171,"")</f>
        <v/>
      </c>
      <c r="I171" s="16">
        <f>IF(COUNTBLANK(G171)=1,"Não executado",IF(ISNUMBER(F171)&lt;&gt;ISNUMBER(G171),"Tipo incompatível",IF(IF(E171="&lt;&gt;",G171&lt;&gt;F171,G171=F171),IF(OR(J171="",K171="",NOT(ISNUMBER(L171)),L171&lt;=0),"Evidência pendente","Compatível"),"Divergente")))</f>
        <v/>
      </c>
      <c r="J171" s="12" t="str"/>
      <c r="K171" s="12" t="str"/>
      <c r="L171" s="28" t="n"/>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c r="H172" s="32">
        <f>IF(AND(ISNUMBER(F172),ISNUMBER(G172)),G172-F172,"")</f>
        <v/>
      </c>
      <c r="I172" s="16">
        <f>IF(COUNTBLANK(G172)=1,"Não executado",IF(ISNUMBER(F172)&lt;&gt;ISNUMBER(G172),"Tipo incompatível",IF(IF(E172="&lt;&gt;",G172&lt;&gt;F172,G172=F172),IF(OR(J172="",K172="",NOT(ISNUMBER(L172)),L172&lt;=0),"Evidência pendente","Compatível"),"Divergente")))</f>
        <v/>
      </c>
      <c r="J172" s="12" t="str"/>
      <c r="K172" s="12" t="str"/>
      <c r="L172" s="28" t="n"/>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c r="H173" s="32">
        <f>IF(AND(ISNUMBER(F173),ISNUMBER(G173)),G173-F173,"")</f>
        <v/>
      </c>
      <c r="I173" s="16">
        <f>IF(COUNTBLANK(G173)=1,"Não executado",IF(ISNUMBER(F173)&lt;&gt;ISNUMBER(G173),"Tipo incompatível",IF(IF(E173="&lt;&gt;",G173&lt;&gt;F173,G173=F173),IF(OR(J173="",K173="",NOT(ISNUMBER(L173)),L173&lt;=0),"Evidência pendente","Compatível"),"Divergente")))</f>
        <v/>
      </c>
      <c r="J173" s="12" t="str"/>
      <c r="K173" s="12" t="str"/>
      <c r="L173" s="28" t="n"/>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c r="H174" s="32">
        <f>IF(AND(ISNUMBER(F174),ISNUMBER(G174)),G174-F174,"")</f>
        <v/>
      </c>
      <c r="I174" s="16">
        <f>IF(COUNTBLANK(G174)=1,"Não executado",IF(ISNUMBER(F174)&lt;&gt;ISNUMBER(G174),"Tipo incompatível",IF(IF(E174="&lt;&gt;",G174&lt;&gt;F174,G174=F174),IF(OR(J174="",K174="",NOT(ISNUMBER(L174)),L174&lt;=0),"Evidência pendente","Compatível"),"Divergente")))</f>
        <v/>
      </c>
      <c r="J174" s="12" t="str"/>
      <c r="K174" s="12" t="str"/>
      <c r="L174" s="28" t="n"/>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c r="H175" s="32">
        <f>IF(AND(ISNUMBER(F175),ISNUMBER(G175)),G175-F175,"")</f>
        <v/>
      </c>
      <c r="I175" s="16">
        <f>IF(COUNTBLANK(G175)=1,"Não executado",IF(ISNUMBER(F175)&lt;&gt;ISNUMBER(G175),"Tipo incompatível",IF(IF(E175="&lt;&gt;",G175&lt;&gt;F175,G175=F175),IF(OR(J175="",K175="",NOT(ISNUMBER(L175)),L175&lt;=0),"Evidência pendente","Compatível"),"Divergente")))</f>
        <v/>
      </c>
      <c r="J175" s="12" t="str"/>
      <c r="K175" s="12" t="str"/>
      <c r="L175" s="28" t="n"/>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c r="H176" s="32">
        <f>IF(AND(ISNUMBER(F176),ISNUMBER(G176)),G176-F176,"")</f>
        <v/>
      </c>
      <c r="I176" s="16">
        <f>IF(COUNTBLANK(G176)=1,"Não executado",IF(ISNUMBER(F176)&lt;&gt;ISNUMBER(G176),"Tipo incompatível",IF(IF(E176="&lt;&gt;",G176&lt;&gt;F176,G176=F176),IF(OR(J176="",K176="",NOT(ISNUMBER(L176)),L176&lt;=0),"Evidência pendente","Compatível"),"Divergente")))</f>
        <v/>
      </c>
      <c r="J176" s="12" t="str"/>
      <c r="K176" s="12" t="str"/>
      <c r="L176" s="28" t="n"/>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c r="H177" s="32">
        <f>IF(AND(ISNUMBER(F177),ISNUMBER(G177)),G177-F177,"")</f>
        <v/>
      </c>
      <c r="I177" s="16">
        <f>IF(COUNTBLANK(G177)=1,"Não executado",IF(ISNUMBER(F177)&lt;&gt;ISNUMBER(G177),"Tipo incompatível",IF(IF(E177="&lt;&gt;",G177&lt;&gt;F177,G177=F177),IF(OR(J177="",K177="",NOT(ISNUMBER(L177)),L177&lt;=0),"Evidência pendente","Compatível"),"Divergente")))</f>
        <v/>
      </c>
      <c r="J177" s="12" t="str"/>
      <c r="K177" s="12" t="str"/>
      <c r="L177" s="28" t="n"/>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c r="H178" s="32">
        <f>IF(AND(ISNUMBER(F178),ISNUMBER(G178)),G178-F178,"")</f>
        <v/>
      </c>
      <c r="I178" s="16">
        <f>IF(COUNTBLANK(G178)=1,"Não executado",IF(ISNUMBER(F178)&lt;&gt;ISNUMBER(G178),"Tipo incompatível",IF(IF(E178="&lt;&gt;",G178&lt;&gt;F178,G178=F178),IF(OR(J178="",K178="",NOT(ISNUMBER(L178)),L178&lt;=0),"Evidência pendente","Compatível"),"Divergente")))</f>
        <v/>
      </c>
      <c r="J178" s="12" t="str"/>
      <c r="K178" s="12" t="str"/>
      <c r="L178" s="28" t="n"/>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c r="H179" s="32">
        <f>IF(AND(ISNUMBER(F179),ISNUMBER(G179)),G179-F179,"")</f>
        <v/>
      </c>
      <c r="I179" s="16">
        <f>IF(COUNTBLANK(G179)=1,"Não executado",IF(ISNUMBER(F179)&lt;&gt;ISNUMBER(G179),"Tipo incompatível",IF(IF(E179="&lt;&gt;",G179&lt;&gt;F179,G179=F179),IF(OR(J179="",K179="",NOT(ISNUMBER(L179)),L179&lt;=0),"Evidência pendente","Compatível"),"Divergente")))</f>
        <v/>
      </c>
      <c r="J179" s="12" t="str"/>
      <c r="K179" s="12" t="str"/>
      <c r="L179" s="28" t="n"/>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c r="H180" s="29">
        <f>IF(AND(ISNUMBER(F180),ISNUMBER(G180)),G180-F180,"")</f>
        <v/>
      </c>
      <c r="I180" s="20">
        <f>IF(COUNTBLANK(G180)=1,"Não executado",IF(ISNUMBER(F180)&lt;&gt;ISNUMBER(G180),"Tipo incompatível",IF(IF(E180="&lt;&gt;",G180&lt;&gt;F180,G180=F180),IF(OR(J180="",K180="",NOT(ISNUMBER(L180)),L180&lt;=0),"Evidência pendente","Compatível"),"Divergente")))</f>
        <v/>
      </c>
      <c r="J180" s="23" t="str"/>
      <c r="K180" s="23" t="str"/>
      <c r="L180" s="31" t="n"/>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c r="H181" s="32">
        <f>IF(AND(ISNUMBER(F181),ISNUMBER(G181)),G181-F181,"")</f>
        <v/>
      </c>
      <c r="I181" s="16">
        <f>IF(COUNTBLANK(G181)=1,"Não executado",IF(ISNUMBER(F181)&lt;&gt;ISNUMBER(G181),"Tipo incompatível",IF(IF(E181="&lt;&gt;",G181&lt;&gt;F181,G181=F181),IF(OR(J181="",K181="",NOT(ISNUMBER(L181)),L181&lt;=0),"Evidência pendente","Compatível"),"Divergente")))</f>
        <v/>
      </c>
      <c r="J181" s="12" t="str"/>
      <c r="K181" s="12" t="str"/>
      <c r="L181" s="28" t="n"/>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c r="H182" s="32">
        <f>IF(AND(ISNUMBER(F182),ISNUMBER(G182)),G182-F182,"")</f>
        <v/>
      </c>
      <c r="I182" s="16">
        <f>IF(COUNTBLANK(G182)=1,"Não executado",IF(ISNUMBER(F182)&lt;&gt;ISNUMBER(G182),"Tipo incompatível",IF(IF(E182="&lt;&gt;",G182&lt;&gt;F182,G182=F182),IF(OR(J182="",K182="",NOT(ISNUMBER(L182)),L182&lt;=0),"Evidência pendente","Compatível"),"Divergente")))</f>
        <v/>
      </c>
      <c r="J182" s="12" t="str"/>
      <c r="K182" s="12" t="str"/>
      <c r="L182" s="28" t="n"/>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c r="H183" s="32">
        <f>IF(AND(ISNUMBER(F183),ISNUMBER(G183)),G183-F183,"")</f>
        <v/>
      </c>
      <c r="I183" s="16">
        <f>IF(COUNTBLANK(G183)=1,"Não executado",IF(ISNUMBER(F183)&lt;&gt;ISNUMBER(G183),"Tipo incompatível",IF(IF(E183="&lt;&gt;",G183&lt;&gt;F183,G183=F183),IF(OR(J183="",K183="",NOT(ISNUMBER(L183)),L183&lt;=0),"Evidência pendente","Compatível"),"Divergente")))</f>
        <v/>
      </c>
      <c r="J183" s="12" t="str"/>
      <c r="K183" s="12" t="str"/>
      <c r="L183" s="28" t="n"/>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c r="H184" s="32">
        <f>IF(AND(ISNUMBER(F184),ISNUMBER(G184)),G184-F184,"")</f>
        <v/>
      </c>
      <c r="I184" s="16">
        <f>IF(COUNTBLANK(G184)=1,"Não executado",IF(ISNUMBER(F184)&lt;&gt;ISNUMBER(G184),"Tipo incompatível",IF(IF(E184="&lt;&gt;",G184&lt;&gt;F184,G184=F184),IF(OR(J184="",K184="",NOT(ISNUMBER(L184)),L184&lt;=0),"Evidência pendente","Compatível"),"Divergente")))</f>
        <v/>
      </c>
      <c r="J184" s="12" t="str"/>
      <c r="K184" s="12" t="str"/>
      <c r="L184" s="28" t="n"/>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c r="H185" s="32">
        <f>IF(AND(ISNUMBER(F185),ISNUMBER(G185)),G185-F185,"")</f>
        <v/>
      </c>
      <c r="I185" s="16">
        <f>IF(COUNTBLANK(G185)=1,"Não executado",IF(ISNUMBER(F185)&lt;&gt;ISNUMBER(G185),"Tipo incompatível",IF(IF(E185="&lt;&gt;",G185&lt;&gt;F185,G185=F185),IF(OR(J185="",K185="",NOT(ISNUMBER(L185)),L185&lt;=0),"Evidência pendente","Compatível"),"Divergente")))</f>
        <v/>
      </c>
      <c r="J185" s="12" t="str"/>
      <c r="K185" s="12" t="str"/>
      <c r="L185" s="28" t="n"/>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c r="H186" s="32">
        <f>IF(AND(ISNUMBER(F186),ISNUMBER(G186)),G186-F186,"")</f>
        <v/>
      </c>
      <c r="I186" s="16">
        <f>IF(COUNTBLANK(G186)=1,"Não executado",IF(ISNUMBER(F186)&lt;&gt;ISNUMBER(G186),"Tipo incompatível",IF(IF(E186="&lt;&gt;",G186&lt;&gt;F186,G186=F186),IF(OR(J186="",K186="",NOT(ISNUMBER(L186)),L186&lt;=0),"Evidência pendente","Compatível"),"Divergente")))</f>
        <v/>
      </c>
      <c r="J186" s="12" t="str"/>
      <c r="K186" s="12" t="str"/>
      <c r="L186" s="28" t="n"/>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c r="H187" s="32">
        <f>IF(AND(ISNUMBER(F187),ISNUMBER(G187)),G187-F187,"")</f>
        <v/>
      </c>
      <c r="I187" s="16">
        <f>IF(COUNTBLANK(G187)=1,"Não executado",IF(ISNUMBER(F187)&lt;&gt;ISNUMBER(G187),"Tipo incompatível",IF(IF(E187="&lt;&gt;",G187&lt;&gt;F187,G187=F187),IF(OR(J187="",K187="",NOT(ISNUMBER(L187)),L187&lt;=0),"Evidência pendente","Compatível"),"Divergente")))</f>
        <v/>
      </c>
      <c r="J187" s="12" t="str"/>
      <c r="K187" s="12" t="str"/>
      <c r="L187" s="28" t="n"/>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c r="H188" s="32">
        <f>IF(AND(ISNUMBER(F188),ISNUMBER(G188)),G188-F188,"")</f>
        <v/>
      </c>
      <c r="I188" s="16">
        <f>IF(COUNTBLANK(G188)=1,"Não executado",IF(ISNUMBER(F188)&lt;&gt;ISNUMBER(G188),"Tipo incompatível",IF(IF(E188="&lt;&gt;",G188&lt;&gt;F188,G188=F188),IF(OR(J188="",K188="",NOT(ISNUMBER(L188)),L188&lt;=0),"Evidência pendente","Compatível"),"Divergente")))</f>
        <v/>
      </c>
      <c r="J188" s="12" t="str"/>
      <c r="K188" s="12" t="str"/>
      <c r="L188" s="28" t="n"/>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c r="H189" s="32">
        <f>IF(AND(ISNUMBER(F189),ISNUMBER(G189)),G189-F189,"")</f>
        <v/>
      </c>
      <c r="I189" s="16">
        <f>IF(COUNTBLANK(G189)=1,"Não executado",IF(ISNUMBER(F189)&lt;&gt;ISNUMBER(G189),"Tipo incompatível",IF(IF(E189="&lt;&gt;",G189&lt;&gt;F189,G189=F189),IF(OR(J189="",K189="",NOT(ISNUMBER(L189)),L189&lt;=0),"Evidência pendente","Compatível"),"Divergente")))</f>
        <v/>
      </c>
      <c r="J189" s="12" t="str"/>
      <c r="K189" s="12" t="str"/>
      <c r="L189" s="28" t="n"/>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c r="H190" s="32">
        <f>IF(AND(ISNUMBER(F190),ISNUMBER(G190)),G190-F190,"")</f>
        <v/>
      </c>
      <c r="I190" s="16">
        <f>IF(COUNTBLANK(G190)=1,"Não executado",IF(ISNUMBER(F190)&lt;&gt;ISNUMBER(G190),"Tipo incompatível",IF(IF(E190="&lt;&gt;",G190&lt;&gt;F190,G190=F190),IF(OR(J190="",K190="",NOT(ISNUMBER(L190)),L190&lt;=0),"Evidência pendente","Compatível"),"Divergente")))</f>
        <v/>
      </c>
      <c r="J190" s="12" t="str"/>
      <c r="K190" s="12" t="str"/>
      <c r="L190" s="28" t="n"/>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c r="H191" s="32">
        <f>IF(AND(ISNUMBER(F191),ISNUMBER(G191)),G191-F191,"")</f>
        <v/>
      </c>
      <c r="I191" s="16">
        <f>IF(COUNTBLANK(G191)=1,"Não executado",IF(ISNUMBER(F191)&lt;&gt;ISNUMBER(G191),"Tipo incompatível",IF(IF(E191="&lt;&gt;",G191&lt;&gt;F191,G191=F191),IF(OR(J191="",K191="",NOT(ISNUMBER(L191)),L191&lt;=0),"Evidência pendente","Compatível"),"Divergente")))</f>
        <v/>
      </c>
      <c r="J191" s="12" t="str"/>
      <c r="K191" s="12" t="str"/>
      <c r="L191" s="28" t="n"/>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c r="H192" s="29">
        <f>IF(AND(ISNUMBER(F192),ISNUMBER(G192)),G192-F192,"")</f>
        <v/>
      </c>
      <c r="I192" s="20">
        <f>IF(COUNTBLANK(G192)=1,"Não executado",IF(ISNUMBER(F192)&lt;&gt;ISNUMBER(G192),"Tipo incompatível",IF(IF(E192="&lt;&gt;",G192&lt;&gt;F192,G192=F192),IF(OR(J192="",K192="",NOT(ISNUMBER(L192)),L192&lt;=0),"Evidência pendente","Compatível"),"Divergente")))</f>
        <v/>
      </c>
      <c r="J192" s="23" t="str"/>
      <c r="K192" s="23" t="str"/>
      <c r="L192" s="31" t="n"/>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c r="H193" s="32">
        <f>IF(AND(ISNUMBER(F193),ISNUMBER(G193)),G193-F193,"")</f>
        <v/>
      </c>
      <c r="I193" s="16">
        <f>IF(COUNTBLANK(G193)=1,"Não executado",IF(ISNUMBER(F193)&lt;&gt;ISNUMBER(G193),"Tipo incompatível",IF(IF(E193="&lt;&gt;",G193&lt;&gt;F193,G193=F193),IF(OR(J193="",K193="",NOT(ISNUMBER(L193)),L193&lt;=0),"Evidência pendente","Compatível"),"Divergente")))</f>
        <v/>
      </c>
      <c r="J193" s="12" t="str"/>
      <c r="K193" s="12" t="str"/>
      <c r="L193" s="28" t="n"/>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c r="H194" s="32">
        <f>IF(AND(ISNUMBER(F194),ISNUMBER(G194)),G194-F194,"")</f>
        <v/>
      </c>
      <c r="I194" s="16">
        <f>IF(COUNTBLANK(G194)=1,"Não executado",IF(ISNUMBER(F194)&lt;&gt;ISNUMBER(G194),"Tipo incompatível",IF(IF(E194="&lt;&gt;",G194&lt;&gt;F194,G194=F194),IF(OR(J194="",K194="",NOT(ISNUMBER(L194)),L194&lt;=0),"Evidência pendente","Compatível"),"Divergente")))</f>
        <v/>
      </c>
      <c r="J194" s="12" t="str"/>
      <c r="K194" s="12" t="str"/>
      <c r="L194" s="28" t="n"/>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c r="H195" s="32">
        <f>IF(AND(ISNUMBER(F195),ISNUMBER(G195)),G195-F195,"")</f>
        <v/>
      </c>
      <c r="I195" s="16">
        <f>IF(COUNTBLANK(G195)=1,"Não executado",IF(ISNUMBER(F195)&lt;&gt;ISNUMBER(G195),"Tipo incompatível",IF(IF(E195="&lt;&gt;",G195&lt;&gt;F195,G195=F195),IF(OR(J195="",K195="",NOT(ISNUMBER(L195)),L195&lt;=0),"Evidência pendente","Compatível"),"Divergente")))</f>
        <v/>
      </c>
      <c r="J195" s="12" t="str"/>
      <c r="K195" s="12" t="str"/>
      <c r="L195" s="28" t="n"/>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c r="H196" s="32">
        <f>IF(AND(ISNUMBER(F196),ISNUMBER(G196)),G196-F196,"")</f>
        <v/>
      </c>
      <c r="I196" s="16">
        <f>IF(COUNTBLANK(G196)=1,"Não executado",IF(ISNUMBER(F196)&lt;&gt;ISNUMBER(G196),"Tipo incompatível",IF(IF(E196="&lt;&gt;",G196&lt;&gt;F196,G196=F196),IF(OR(J196="",K196="",NOT(ISNUMBER(L196)),L196&lt;=0),"Evidência pendente","Compatível"),"Divergente")))</f>
        <v/>
      </c>
      <c r="J196" s="12" t="str"/>
      <c r="K196" s="12" t="str"/>
      <c r="L196" s="28" t="n"/>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c r="H197" s="32">
        <f>IF(AND(ISNUMBER(F197),ISNUMBER(G197)),G197-F197,"")</f>
        <v/>
      </c>
      <c r="I197" s="16">
        <f>IF(COUNTBLANK(G197)=1,"Não executado",IF(ISNUMBER(F197)&lt;&gt;ISNUMBER(G197),"Tipo incompatível",IF(IF(E197="&lt;&gt;",G197&lt;&gt;F197,G197=F197),IF(OR(J197="",K197="",NOT(ISNUMBER(L197)),L197&lt;=0),"Evidência pendente","Compatível"),"Divergente")))</f>
        <v/>
      </c>
      <c r="J197" s="12" t="str"/>
      <c r="K197" s="12" t="str"/>
      <c r="L197" s="28" t="n"/>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c r="H198" s="32">
        <f>IF(AND(ISNUMBER(F198),ISNUMBER(G198)),G198-F198,"")</f>
        <v/>
      </c>
      <c r="I198" s="16">
        <f>IF(COUNTBLANK(G198)=1,"Não executado",IF(ISNUMBER(F198)&lt;&gt;ISNUMBER(G198),"Tipo incompatível",IF(IF(E198="&lt;&gt;",G198&lt;&gt;F198,G198=F198),IF(OR(J198="",K198="",NOT(ISNUMBER(L198)),L198&lt;=0),"Evidência pendente","Compatível"),"Divergente")))</f>
        <v/>
      </c>
      <c r="J198" s="12" t="str"/>
      <c r="K198" s="12" t="str"/>
      <c r="L198" s="28" t="n"/>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c r="H199" s="32">
        <f>IF(AND(ISNUMBER(F199),ISNUMBER(G199)),G199-F199,"")</f>
        <v/>
      </c>
      <c r="I199" s="16">
        <f>IF(COUNTBLANK(G199)=1,"Não executado",IF(ISNUMBER(F199)&lt;&gt;ISNUMBER(G199),"Tipo incompatível",IF(IF(E199="&lt;&gt;",G199&lt;&gt;F199,G199=F199),IF(OR(J199="",K199="",NOT(ISNUMBER(L199)),L199&lt;=0),"Evidência pendente","Compatível"),"Divergente")))</f>
        <v/>
      </c>
      <c r="J199" s="12" t="str"/>
      <c r="K199" s="12" t="str"/>
      <c r="L199" s="28" t="n"/>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c r="H200" s="32">
        <f>IF(AND(ISNUMBER(F200),ISNUMBER(G200)),G200-F200,"")</f>
        <v/>
      </c>
      <c r="I200" s="16">
        <f>IF(COUNTBLANK(G200)=1,"Não executado",IF(ISNUMBER(F200)&lt;&gt;ISNUMBER(G200),"Tipo incompatível",IF(IF(E200="&lt;&gt;",G200&lt;&gt;F200,G200=F200),IF(OR(J200="",K200="",NOT(ISNUMBER(L200)),L200&lt;=0),"Evidência pendente","Compatível"),"Divergente")))</f>
        <v/>
      </c>
      <c r="J200" s="12" t="str"/>
      <c r="K200" s="12" t="str"/>
      <c r="L200" s="28" t="n"/>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c r="H201" s="32">
        <f>IF(AND(ISNUMBER(F201),ISNUMBER(G201)),G201-F201,"")</f>
        <v/>
      </c>
      <c r="I201" s="16">
        <f>IF(COUNTBLANK(G201)=1,"Não executado",IF(ISNUMBER(F201)&lt;&gt;ISNUMBER(G201),"Tipo incompatível",IF(IF(E201="&lt;&gt;",G201&lt;&gt;F201,G201=F201),IF(OR(J201="",K201="",NOT(ISNUMBER(L201)),L201&lt;=0),"Evidência pendente","Compatível"),"Divergente")))</f>
        <v/>
      </c>
      <c r="J201" s="12" t="str"/>
      <c r="K201" s="12" t="str"/>
      <c r="L201" s="28" t="n"/>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c r="H202" s="32">
        <f>IF(AND(ISNUMBER(F202),ISNUMBER(G202)),G202-F202,"")</f>
        <v/>
      </c>
      <c r="I202" s="16">
        <f>IF(COUNTBLANK(G202)=1,"Não executado",IF(ISNUMBER(F202)&lt;&gt;ISNUMBER(G202),"Tipo incompatível",IF(IF(E202="&lt;&gt;",G202&lt;&gt;F202,G202=F202),IF(OR(J202="",K202="",NOT(ISNUMBER(L202)),L202&lt;=0),"Evidência pendente","Compatível"),"Divergente")))</f>
        <v/>
      </c>
      <c r="J202" s="12" t="str"/>
      <c r="K202" s="12" t="str"/>
      <c r="L202" s="28" t="n"/>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c r="H203" s="32">
        <f>IF(AND(ISNUMBER(F203),ISNUMBER(G203)),G203-F203,"")</f>
        <v/>
      </c>
      <c r="I203" s="16">
        <f>IF(COUNTBLANK(G203)=1,"Não executado",IF(ISNUMBER(F203)&lt;&gt;ISNUMBER(G203),"Tipo incompatível",IF(IF(E203="&lt;&gt;",G203&lt;&gt;F203,G203=F203),IF(OR(J203="",K203="",NOT(ISNUMBER(L203)),L203&lt;=0),"Evidência pendente","Compatível"),"Divergente")))</f>
        <v/>
      </c>
      <c r="J203" s="12" t="str"/>
      <c r="K203" s="12" t="str"/>
      <c r="L203" s="28" t="n"/>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c r="H204" s="32">
        <f>IF(AND(ISNUMBER(F204),ISNUMBER(G204)),G204-F204,"")</f>
        <v/>
      </c>
      <c r="I204" s="16">
        <f>IF(COUNTBLANK(G204)=1,"Não executado",IF(ISNUMBER(F204)&lt;&gt;ISNUMBER(G204),"Tipo incompatível",IF(IF(E204="&lt;&gt;",G204&lt;&gt;F204,G204=F204),IF(OR(J204="",K204="",NOT(ISNUMBER(L204)),L204&lt;=0),"Evidência pendente","Compatível"),"Divergente")))</f>
        <v/>
      </c>
      <c r="J204" s="12" t="str"/>
      <c r="K204" s="12" t="str"/>
      <c r="L204" s="28" t="n"/>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c r="H205" s="32">
        <f>IF(AND(ISNUMBER(F205),ISNUMBER(G205)),G205-F205,"")</f>
        <v/>
      </c>
      <c r="I205" s="16">
        <f>IF(COUNTBLANK(G205)=1,"Não executado",IF(ISNUMBER(F205)&lt;&gt;ISNUMBER(G205),"Tipo incompatível",IF(IF(E205="&lt;&gt;",G205&lt;&gt;F205,G205=F205),IF(OR(J205="",K205="",NOT(ISNUMBER(L205)),L205&lt;=0),"Evidência pendente","Compatível"),"Divergente")))</f>
        <v/>
      </c>
      <c r="J205" s="12" t="str"/>
      <c r="K205" s="12" t="str"/>
      <c r="L205" s="28" t="n"/>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n"/>
      <c r="H206" s="32">
        <f>IF(AND(ISNUMBER(F206),ISNUMBER(G206)),G206-F206,"")</f>
        <v/>
      </c>
      <c r="I206" s="16">
        <f>IF(COUNTBLANK(G206)=1,"Não executado",IF(ISNUMBER(F206)&lt;&gt;ISNUMBER(G206),"Tipo incompatível",IF(IF(E206="&lt;&gt;",G206&lt;&gt;F206,G206=F206),IF(OR(J206="",K206="",NOT(ISNUMBER(L206)),L206&lt;=0),"Evidência pendente","Compatível"),"Divergente")))</f>
        <v/>
      </c>
      <c r="J206" s="12" t="str"/>
      <c r="K206" s="12" t="str"/>
      <c r="L206" s="28" t="n"/>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n"/>
      <c r="H207" s="32">
        <f>IF(AND(ISNUMBER(F207),ISNUMBER(G207)),G207-F207,"")</f>
        <v/>
      </c>
      <c r="I207" s="16">
        <f>IF(COUNTBLANK(G207)=1,"Não executado",IF(ISNUMBER(F207)&lt;&gt;ISNUMBER(G207),"Tipo incompatível",IF(IF(E207="&lt;&gt;",G207&lt;&gt;F207,G207=F207),IF(OR(J207="",K207="",NOT(ISNUMBER(L207)),L207&lt;=0),"Evidência pendente","Compatível"),"Divergente")))</f>
        <v/>
      </c>
      <c r="J207" s="12" t="str"/>
      <c r="K207" s="12" t="str"/>
      <c r="L207" s="28" t="n"/>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n"/>
      <c r="H208" s="32">
        <f>IF(AND(ISNUMBER(F208),ISNUMBER(G208)),G208-F208,"")</f>
        <v/>
      </c>
      <c r="I208" s="16">
        <f>IF(COUNTBLANK(G208)=1,"Não executado",IF(ISNUMBER(F208)&lt;&gt;ISNUMBER(G208),"Tipo incompatível",IF(IF(E208="&lt;&gt;",G208&lt;&gt;F208,G208=F208),IF(OR(J208="",K208="",NOT(ISNUMBER(L208)),L208&lt;=0),"Evidência pendente","Compatível"),"Divergente")))</f>
        <v/>
      </c>
      <c r="J208" s="12" t="str"/>
      <c r="K208" s="12" t="str"/>
      <c r="L208" s="28" t="n"/>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n"/>
      <c r="H209" s="32">
        <f>IF(AND(ISNUMBER(F209),ISNUMBER(G209)),G209-F209,"")</f>
        <v/>
      </c>
      <c r="I209" s="16">
        <f>IF(COUNTBLANK(G209)=1,"Não executado",IF(ISNUMBER(F209)&lt;&gt;ISNUMBER(G209),"Tipo incompatível",IF(IF(E209="&lt;&gt;",G209&lt;&gt;F209,G209=F209),IF(OR(J209="",K209="",NOT(ISNUMBER(L209)),L209&lt;=0),"Evidência pendente","Compatível"),"Divergente")))</f>
        <v/>
      </c>
      <c r="J209" s="12" t="str"/>
      <c r="K209" s="12" t="str"/>
      <c r="L209" s="28" t="n"/>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c r="H210" s="32">
        <f>IF(AND(ISNUMBER(F210),ISNUMBER(G210)),G210-F210,"")</f>
        <v/>
      </c>
      <c r="I210" s="16">
        <f>IF(COUNTBLANK(G210)=1,"Não executado",IF(ISNUMBER(F210)&lt;&gt;ISNUMBER(G210),"Tipo incompatível",IF(IF(E210="&lt;&gt;",G210&lt;&gt;F210,G210=F210),IF(OR(J210="",K210="",NOT(ISNUMBER(L210)),L210&lt;=0),"Evidência pendente","Compatível"),"Divergente")))</f>
        <v/>
      </c>
      <c r="J210" s="12" t="str"/>
      <c r="K210" s="12" t="str"/>
      <c r="L210" s="28" t="n"/>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c r="H211" s="32">
        <f>IF(AND(ISNUMBER(F211),ISNUMBER(G211)),G211-F211,"")</f>
        <v/>
      </c>
      <c r="I211" s="16">
        <f>IF(COUNTBLANK(G211)=1,"Não executado",IF(ISNUMBER(F211)&lt;&gt;ISNUMBER(G211),"Tipo incompatível",IF(IF(E211="&lt;&gt;",G211&lt;&gt;F211,G211=F211),IF(OR(J211="",K211="",NOT(ISNUMBER(L211)),L211&lt;=0),"Evidência pendente","Compatível"),"Divergente")))</f>
        <v/>
      </c>
      <c r="J211" s="12" t="str"/>
      <c r="K211" s="12" t="str"/>
      <c r="L211" s="28" t="n"/>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c r="H212" s="32">
        <f>IF(AND(ISNUMBER(F212),ISNUMBER(G212)),G212-F212,"")</f>
        <v/>
      </c>
      <c r="I212" s="16">
        <f>IF(COUNTBLANK(G212)=1,"Não executado",IF(ISNUMBER(F212)&lt;&gt;ISNUMBER(G212),"Tipo incompatível",IF(IF(E212="&lt;&gt;",G212&lt;&gt;F212,G212=F212),IF(OR(J212="",K212="",NOT(ISNUMBER(L212)),L212&lt;=0),"Evidência pendente","Compatível"),"Divergente")))</f>
        <v/>
      </c>
      <c r="J212" s="12" t="str"/>
      <c r="K212" s="12" t="str"/>
      <c r="L212" s="28" t="n"/>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c r="H213" s="32">
        <f>IF(AND(ISNUMBER(F213),ISNUMBER(G213)),G213-F213,"")</f>
        <v/>
      </c>
      <c r="I213" s="16">
        <f>IF(COUNTBLANK(G213)=1,"Não executado",IF(ISNUMBER(F213)&lt;&gt;ISNUMBER(G213),"Tipo incompatível",IF(IF(E213="&lt;&gt;",G213&lt;&gt;F213,G213=F213),IF(OR(J213="",K213="",NOT(ISNUMBER(L213)),L213&lt;=0),"Evidência pendente","Compatível"),"Divergente")))</f>
        <v/>
      </c>
      <c r="J213" s="12" t="str"/>
      <c r="K213" s="12" t="str"/>
      <c r="L213" s="28" t="n"/>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c r="H214" s="29">
        <f>IF(AND(ISNUMBER(F214),ISNUMBER(G214)),G214-F214,"")</f>
        <v/>
      </c>
      <c r="I214" s="20">
        <f>IF(COUNTBLANK(G214)=1,"Não executado",IF(ISNUMBER(F214)&lt;&gt;ISNUMBER(G214),"Tipo incompatível",IF(IF(E214="&lt;&gt;",G214&lt;&gt;F214,G214=F214),IF(OR(J214="",K214="",NOT(ISNUMBER(L214)),L214&lt;=0),"Evidência pendente","Compatível"),"Divergente")))</f>
        <v/>
      </c>
      <c r="J214" s="23" t="str"/>
      <c r="K214" s="23" t="str"/>
      <c r="L214" s="31" t="n"/>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c r="H215" s="32">
        <f>IF(AND(ISNUMBER(F215),ISNUMBER(G215)),G215-F215,"")</f>
        <v/>
      </c>
      <c r="I215" s="16">
        <f>IF(COUNTBLANK(G215)=1,"Não executado",IF(ISNUMBER(F215)&lt;&gt;ISNUMBER(G215),"Tipo incompatível",IF(IF(E215="&lt;&gt;",G215&lt;&gt;F215,G215=F215),IF(OR(J215="",K215="",NOT(ISNUMBER(L215)),L215&lt;=0),"Evidência pendente","Compatível"),"Divergente")))</f>
        <v/>
      </c>
      <c r="J215" s="12" t="str"/>
      <c r="K215" s="12" t="str"/>
      <c r="L215" s="28" t="n"/>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c r="H216" s="32">
        <f>IF(AND(ISNUMBER(F216),ISNUMBER(G216)),G216-F216,"")</f>
        <v/>
      </c>
      <c r="I216" s="16">
        <f>IF(COUNTBLANK(G216)=1,"Não executado",IF(ISNUMBER(F216)&lt;&gt;ISNUMBER(G216),"Tipo incompatível",IF(IF(E216="&lt;&gt;",G216&lt;&gt;F216,G216=F216),IF(OR(J216="",K216="",NOT(ISNUMBER(L216)),L216&lt;=0),"Evidência pendente","Compatível"),"Divergente")))</f>
        <v/>
      </c>
      <c r="J216" s="12" t="str"/>
      <c r="K216" s="12" t="str"/>
      <c r="L216" s="28" t="n"/>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c r="H217" s="32">
        <f>IF(AND(ISNUMBER(F217),ISNUMBER(G217)),G217-F217,"")</f>
        <v/>
      </c>
      <c r="I217" s="16">
        <f>IF(COUNTBLANK(G217)=1,"Não executado",IF(ISNUMBER(F217)&lt;&gt;ISNUMBER(G217),"Tipo incompatível",IF(IF(E217="&lt;&gt;",G217&lt;&gt;F217,G217=F217),IF(OR(J217="",K217="",NOT(ISNUMBER(L217)),L217&lt;=0),"Evidência pendente","Compatível"),"Divergente")))</f>
        <v/>
      </c>
      <c r="J217" s="12" t="str"/>
      <c r="K217" s="12" t="str"/>
      <c r="L217" s="28" t="n"/>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c r="H218" s="32">
        <f>IF(AND(ISNUMBER(F218),ISNUMBER(G218)),G218-F218,"")</f>
        <v/>
      </c>
      <c r="I218" s="16">
        <f>IF(COUNTBLANK(G218)=1,"Não executado",IF(ISNUMBER(F218)&lt;&gt;ISNUMBER(G218),"Tipo incompatível",IF(IF(E218="&lt;&gt;",G218&lt;&gt;F218,G218=F218),IF(OR(J218="",K218="",NOT(ISNUMBER(L218)),L218&lt;=0),"Evidência pendente","Compatível"),"Divergente")))</f>
        <v/>
      </c>
      <c r="J218" s="12" t="str"/>
      <c r="K218" s="12" t="str"/>
      <c r="L218" s="28" t="n"/>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c r="H219" s="32">
        <f>IF(AND(ISNUMBER(F219),ISNUMBER(G219)),G219-F219,"")</f>
        <v/>
      </c>
      <c r="I219" s="16">
        <f>IF(COUNTBLANK(G219)=1,"Não executado",IF(ISNUMBER(F219)&lt;&gt;ISNUMBER(G219),"Tipo incompatível",IF(IF(E219="&lt;&gt;",G219&lt;&gt;F219,G219=F219),IF(OR(J219="",K219="",NOT(ISNUMBER(L219)),L219&lt;=0),"Evidência pendente","Compatível"),"Divergente")))</f>
        <v/>
      </c>
      <c r="J219" s="12" t="str"/>
      <c r="K219" s="12" t="str"/>
      <c r="L219" s="28" t="n"/>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c r="H220" s="32">
        <f>IF(AND(ISNUMBER(F220),ISNUMBER(G220)),G220-F220,"")</f>
        <v/>
      </c>
      <c r="I220" s="16">
        <f>IF(COUNTBLANK(G220)=1,"Não executado",IF(ISNUMBER(F220)&lt;&gt;ISNUMBER(G220),"Tipo incompatível",IF(IF(E220="&lt;&gt;",G220&lt;&gt;F220,G220=F220),IF(OR(J220="",K220="",NOT(ISNUMBER(L220)),L220&lt;=0),"Evidência pendente","Compatível"),"Divergente")))</f>
        <v/>
      </c>
      <c r="J220" s="12" t="str"/>
      <c r="K220" s="12" t="str"/>
      <c r="L220" s="28" t="n"/>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c r="H221" s="32">
        <f>IF(AND(ISNUMBER(F221),ISNUMBER(G221)),G221-F221,"")</f>
        <v/>
      </c>
      <c r="I221" s="16">
        <f>IF(COUNTBLANK(G221)=1,"Não executado",IF(ISNUMBER(F221)&lt;&gt;ISNUMBER(G221),"Tipo incompatível",IF(IF(E221="&lt;&gt;",G221&lt;&gt;F221,G221=F221),IF(OR(J221="",K221="",NOT(ISNUMBER(L221)),L221&lt;=0),"Evidência pendente","Compatível"),"Divergente")))</f>
        <v/>
      </c>
      <c r="J221" s="12" t="str"/>
      <c r="K221" s="12" t="str"/>
      <c r="L221" s="28" t="n"/>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c r="H222" s="32">
        <f>IF(AND(ISNUMBER(F222),ISNUMBER(G222)),G222-F222,"")</f>
        <v/>
      </c>
      <c r="I222" s="16">
        <f>IF(COUNTBLANK(G222)=1,"Não executado",IF(ISNUMBER(F222)&lt;&gt;ISNUMBER(G222),"Tipo incompatível",IF(IF(E222="&lt;&gt;",G222&lt;&gt;F222,G222=F222),IF(OR(J222="",K222="",NOT(ISNUMBER(L222)),L222&lt;=0),"Evidência pendente","Compatível"),"Divergente")))</f>
        <v/>
      </c>
      <c r="J222" s="12" t="str"/>
      <c r="K222" s="12" t="str"/>
      <c r="L222" s="28" t="n"/>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c r="H223" s="32">
        <f>IF(AND(ISNUMBER(F223),ISNUMBER(G223)),G223-F223,"")</f>
        <v/>
      </c>
      <c r="I223" s="16">
        <f>IF(COUNTBLANK(G223)=1,"Não executado",IF(ISNUMBER(F223)&lt;&gt;ISNUMBER(G223),"Tipo incompatível",IF(IF(E223="&lt;&gt;",G223&lt;&gt;F223,G223=F223),IF(OR(J223="",K223="",NOT(ISNUMBER(L223)),L223&lt;=0),"Evidência pendente","Compatível"),"Divergente")))</f>
        <v/>
      </c>
      <c r="J223" s="12" t="str"/>
      <c r="K223" s="12" t="str"/>
      <c r="L223" s="28" t="n"/>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c r="H224" s="32">
        <f>IF(AND(ISNUMBER(F224),ISNUMBER(G224)),G224-F224,"")</f>
        <v/>
      </c>
      <c r="I224" s="16">
        <f>IF(COUNTBLANK(G224)=1,"Não executado",IF(ISNUMBER(F224)&lt;&gt;ISNUMBER(G224),"Tipo incompatível",IF(IF(E224="&lt;&gt;",G224&lt;&gt;F224,G224=F224),IF(OR(J224="",K224="",NOT(ISNUMBER(L224)),L224&lt;=0),"Evidência pendente","Compatível"),"Divergente")))</f>
        <v/>
      </c>
      <c r="J224" s="12" t="str"/>
      <c r="K224" s="12" t="str"/>
      <c r="L224" s="28" t="n"/>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c r="H225" s="32">
        <f>IF(AND(ISNUMBER(F225),ISNUMBER(G225)),G225-F225,"")</f>
        <v/>
      </c>
      <c r="I225" s="16">
        <f>IF(COUNTBLANK(G225)=1,"Não executado",IF(ISNUMBER(F225)&lt;&gt;ISNUMBER(G225),"Tipo incompatível",IF(IF(E225="&lt;&gt;",G225&lt;&gt;F225,G225=F225),IF(OR(J225="",K225="",NOT(ISNUMBER(L225)),L225&lt;=0),"Evidência pendente","Compatível"),"Divergente")))</f>
        <v/>
      </c>
      <c r="J225" s="12" t="str"/>
      <c r="K225" s="12" t="str"/>
      <c r="L225" s="28" t="n"/>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c r="H226" s="32">
        <f>IF(AND(ISNUMBER(F226),ISNUMBER(G226)),G226-F226,"")</f>
        <v/>
      </c>
      <c r="I226" s="16">
        <f>IF(COUNTBLANK(G226)=1,"Não executado",IF(ISNUMBER(F226)&lt;&gt;ISNUMBER(G226),"Tipo incompatível",IF(IF(E226="&lt;&gt;",G226&lt;&gt;F226,G226=F226),IF(OR(J226="",K226="",NOT(ISNUMBER(L226)),L226&lt;=0),"Evidência pendente","Compatível"),"Divergente")))</f>
        <v/>
      </c>
      <c r="J226" s="12" t="str"/>
      <c r="K226" s="12" t="str"/>
      <c r="L226" s="28" t="n"/>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c r="H227" s="32">
        <f>IF(AND(ISNUMBER(F227),ISNUMBER(G227)),G227-F227,"")</f>
        <v/>
      </c>
      <c r="I227" s="16">
        <f>IF(COUNTBLANK(G227)=1,"Não executado",IF(ISNUMBER(F227)&lt;&gt;ISNUMBER(G227),"Tipo incompatível",IF(IF(E227="&lt;&gt;",G227&lt;&gt;F227,G227=F227),IF(OR(J227="",K227="",NOT(ISNUMBER(L227)),L227&lt;=0),"Evidência pendente","Compatível"),"Divergente")))</f>
        <v/>
      </c>
      <c r="J227" s="12" t="str"/>
      <c r="K227" s="12" t="str"/>
      <c r="L227" s="28" t="n"/>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c r="H228" s="32">
        <f>IF(AND(ISNUMBER(F228),ISNUMBER(G228)),G228-F228,"")</f>
        <v/>
      </c>
      <c r="I228" s="16">
        <f>IF(COUNTBLANK(G228)=1,"Não executado",IF(ISNUMBER(F228)&lt;&gt;ISNUMBER(G228),"Tipo incompatível",IF(IF(E228="&lt;&gt;",G228&lt;&gt;F228,G228=F228),IF(OR(J228="",K228="",NOT(ISNUMBER(L228)),L228&lt;=0),"Evidência pendente","Compatível"),"Divergente")))</f>
        <v/>
      </c>
      <c r="J228" s="12" t="str"/>
      <c r="K228" s="12" t="str"/>
      <c r="L228" s="28" t="n"/>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c r="H229" s="32">
        <f>IF(AND(ISNUMBER(F229),ISNUMBER(G229)),G229-F229,"")</f>
        <v/>
      </c>
      <c r="I229" s="16">
        <f>IF(COUNTBLANK(G229)=1,"Não executado",IF(ISNUMBER(F229)&lt;&gt;ISNUMBER(G229),"Tipo incompatível",IF(IF(E229="&lt;&gt;",G229&lt;&gt;F229,G229=F229),IF(OR(J229="",K229="",NOT(ISNUMBER(L229)),L229&lt;=0),"Evidência pendente","Compatível"),"Divergente")))</f>
        <v/>
      </c>
      <c r="J229" s="12" t="str"/>
      <c r="K229" s="12" t="str"/>
      <c r="L229" s="28" t="n"/>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c r="H230" s="32">
        <f>IF(AND(ISNUMBER(F230),ISNUMBER(G230)),G230-F230,"")</f>
        <v/>
      </c>
      <c r="I230" s="16">
        <f>IF(COUNTBLANK(G230)=1,"Não executado",IF(ISNUMBER(F230)&lt;&gt;ISNUMBER(G230),"Tipo incompatível",IF(IF(E230="&lt;&gt;",G230&lt;&gt;F230,G230=F230),IF(OR(J230="",K230="",NOT(ISNUMBER(L230)),L230&lt;=0),"Evidência pendente","Compatível"),"Divergente")))</f>
        <v/>
      </c>
      <c r="J230" s="12" t="str"/>
      <c r="K230" s="12" t="str"/>
      <c r="L230" s="28" t="n"/>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c r="H231" s="32">
        <f>IF(AND(ISNUMBER(F231),ISNUMBER(G231)),G231-F231,"")</f>
        <v/>
      </c>
      <c r="I231" s="16">
        <f>IF(COUNTBLANK(G231)=1,"Não executado",IF(ISNUMBER(F231)&lt;&gt;ISNUMBER(G231),"Tipo incompatível",IF(IF(E231="&lt;&gt;",G231&lt;&gt;F231,G231=F231),IF(OR(J231="",K231="",NOT(ISNUMBER(L231)),L231&lt;=0),"Evidência pendente","Compatível"),"Divergente")))</f>
        <v/>
      </c>
      <c r="J231" s="12" t="str"/>
      <c r="K231" s="12" t="str"/>
      <c r="L231" s="28" t="n"/>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c r="H232" s="32">
        <f>IF(AND(ISNUMBER(F232),ISNUMBER(G232)),G232-F232,"")</f>
        <v/>
      </c>
      <c r="I232" s="16">
        <f>IF(COUNTBLANK(G232)=1,"Não executado",IF(ISNUMBER(F232)&lt;&gt;ISNUMBER(G232),"Tipo incompatível",IF(IF(E232="&lt;&gt;",G232&lt;&gt;F232,G232=F232),IF(OR(J232="",K232="",NOT(ISNUMBER(L232)),L232&lt;=0),"Evidência pendente","Compatível"),"Divergente")))</f>
        <v/>
      </c>
      <c r="J232" s="12" t="str"/>
      <c r="K232" s="12" t="str"/>
      <c r="L232" s="28" t="n"/>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c r="H233" s="32">
        <f>IF(AND(ISNUMBER(F233),ISNUMBER(G233)),G233-F233,"")</f>
        <v/>
      </c>
      <c r="I233" s="16">
        <f>IF(COUNTBLANK(G233)=1,"Não executado",IF(ISNUMBER(F233)&lt;&gt;ISNUMBER(G233),"Tipo incompatível",IF(IF(E233="&lt;&gt;",G233&lt;&gt;F233,G233=F233),IF(OR(J233="",K233="",NOT(ISNUMBER(L233)),L233&lt;=0),"Evidência pendente","Compatível"),"Divergente")))</f>
        <v/>
      </c>
      <c r="J233" s="12" t="str"/>
      <c r="K233" s="12" t="str"/>
      <c r="L233" s="28" t="n"/>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c r="H234" s="32">
        <f>IF(AND(ISNUMBER(F234),ISNUMBER(G234)),G234-F234,"")</f>
        <v/>
      </c>
      <c r="I234" s="16">
        <f>IF(COUNTBLANK(G234)=1,"Não executado",IF(ISNUMBER(F234)&lt;&gt;ISNUMBER(G234),"Tipo incompatível",IF(IF(E234="&lt;&gt;",G234&lt;&gt;F234,G234=F234),IF(OR(J234="",K234="",NOT(ISNUMBER(L234)),L234&lt;=0),"Evidência pendente","Compatível"),"Divergente")))</f>
        <v/>
      </c>
      <c r="J234" s="12" t="str"/>
      <c r="K234" s="12" t="str"/>
      <c r="L234" s="28" t="n"/>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c r="H235" s="32">
        <f>IF(AND(ISNUMBER(F235),ISNUMBER(G235)),G235-F235,"")</f>
        <v/>
      </c>
      <c r="I235" s="16">
        <f>IF(COUNTBLANK(G235)=1,"Não executado",IF(ISNUMBER(F235)&lt;&gt;ISNUMBER(G235),"Tipo incompatível",IF(IF(E235="&lt;&gt;",G235&lt;&gt;F235,G235=F235),IF(OR(J235="",K235="",NOT(ISNUMBER(L235)),L235&lt;=0),"Evidência pendente","Compatível"),"Divergente")))</f>
        <v/>
      </c>
      <c r="J235" s="12" t="str"/>
      <c r="K235" s="12" t="str"/>
      <c r="L235" s="28" t="n"/>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c r="H236" s="32">
        <f>IF(AND(ISNUMBER(F236),ISNUMBER(G236)),G236-F236,"")</f>
        <v/>
      </c>
      <c r="I236" s="16">
        <f>IF(COUNTBLANK(G236)=1,"Não executado",IF(ISNUMBER(F236)&lt;&gt;ISNUMBER(G236),"Tipo incompatível",IF(IF(E236="&lt;&gt;",G236&lt;&gt;F236,G236=F236),IF(OR(J236="",K236="",NOT(ISNUMBER(L236)),L236&lt;=0),"Evidência pendente","Compatível"),"Divergente")))</f>
        <v/>
      </c>
      <c r="J236" s="12" t="str"/>
      <c r="K236" s="12" t="str"/>
      <c r="L236" s="28" t="n"/>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c r="H237" s="32">
        <f>IF(AND(ISNUMBER(F237),ISNUMBER(G237)),G237-F237,"")</f>
        <v/>
      </c>
      <c r="I237" s="16">
        <f>IF(COUNTBLANK(G237)=1,"Não executado",IF(ISNUMBER(F237)&lt;&gt;ISNUMBER(G237),"Tipo incompatível",IF(IF(E237="&lt;&gt;",G237&lt;&gt;F237,G237=F237),IF(OR(J237="",K237="",NOT(ISNUMBER(L237)),L237&lt;=0),"Evidência pendente","Compatível"),"Divergente")))</f>
        <v/>
      </c>
      <c r="J237" s="12" t="str"/>
      <c r="K237" s="12" t="str"/>
      <c r="L237" s="28" t="n"/>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c r="H238" s="32">
        <f>IF(AND(ISNUMBER(F238),ISNUMBER(G238)),G238-F238,"")</f>
        <v/>
      </c>
      <c r="I238" s="16">
        <f>IF(COUNTBLANK(G238)=1,"Não executado",IF(ISNUMBER(F238)&lt;&gt;ISNUMBER(G238),"Tipo incompatível",IF(IF(E238="&lt;&gt;",G238&lt;&gt;F238,G238=F238),IF(OR(J238="",K238="",NOT(ISNUMBER(L238)),L238&lt;=0),"Evidência pendente","Compatível"),"Divergente")))</f>
        <v/>
      </c>
      <c r="J238" s="12" t="str"/>
      <c r="K238" s="12" t="str"/>
      <c r="L238" s="28" t="n"/>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c r="H239" s="32">
        <f>IF(AND(ISNUMBER(F239),ISNUMBER(G239)),G239-F239,"")</f>
        <v/>
      </c>
      <c r="I239" s="16">
        <f>IF(COUNTBLANK(G239)=1,"Não executado",IF(ISNUMBER(F239)&lt;&gt;ISNUMBER(G239),"Tipo incompatível",IF(IF(E239="&lt;&gt;",G239&lt;&gt;F239,G239=F239),IF(OR(J239="",K239="",NOT(ISNUMBER(L239)),L239&lt;=0),"Evidência pendente","Compatível"),"Divergente")))</f>
        <v/>
      </c>
      <c r="J239" s="12" t="str"/>
      <c r="K239" s="12" t="str"/>
      <c r="L239" s="28" t="n"/>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c r="H240" s="32">
        <f>IF(AND(ISNUMBER(F240),ISNUMBER(G240)),G240-F240,"")</f>
        <v/>
      </c>
      <c r="I240" s="16">
        <f>IF(COUNTBLANK(G240)=1,"Não executado",IF(ISNUMBER(F240)&lt;&gt;ISNUMBER(G240),"Tipo incompatível",IF(IF(E240="&lt;&gt;",G240&lt;&gt;F240,G240=F240),IF(OR(J240="",K240="",NOT(ISNUMBER(L240)),L240&lt;=0),"Evidência pendente","Compatível"),"Divergente")))</f>
        <v/>
      </c>
      <c r="J240" s="12" t="str"/>
      <c r="K240" s="12" t="str"/>
      <c r="L240" s="28" t="n"/>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c r="H241" s="32">
        <f>IF(AND(ISNUMBER(F241),ISNUMBER(G241)),G241-F241,"")</f>
        <v/>
      </c>
      <c r="I241" s="16">
        <f>IF(COUNTBLANK(G241)=1,"Não executado",IF(ISNUMBER(F241)&lt;&gt;ISNUMBER(G241),"Tipo incompatível",IF(IF(E241="&lt;&gt;",G241&lt;&gt;F241,G241=F241),IF(OR(J241="",K241="",NOT(ISNUMBER(L241)),L241&lt;=0),"Evidência pendente","Compatível"),"Divergente")))</f>
        <v/>
      </c>
      <c r="J241" s="12" t="str"/>
      <c r="K241" s="12" t="str"/>
      <c r="L241" s="28" t="n"/>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c r="H242" s="32">
        <f>IF(AND(ISNUMBER(F242),ISNUMBER(G242)),G242-F242,"")</f>
        <v/>
      </c>
      <c r="I242" s="16">
        <f>IF(COUNTBLANK(G242)=1,"Não executado",IF(ISNUMBER(F242)&lt;&gt;ISNUMBER(G242),"Tipo incompatível",IF(IF(E242="&lt;&gt;",G242&lt;&gt;F242,G242=F242),IF(OR(J242="",K242="",NOT(ISNUMBER(L242)),L242&lt;=0),"Evidência pendente","Compatível"),"Divergente")))</f>
        <v/>
      </c>
      <c r="J242" s="12" t="str"/>
      <c r="K242" s="12" t="str"/>
      <c r="L242" s="28" t="n"/>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c r="H243" s="32">
        <f>IF(AND(ISNUMBER(F243),ISNUMBER(G243)),G243-F243,"")</f>
        <v/>
      </c>
      <c r="I243" s="16">
        <f>IF(COUNTBLANK(G243)=1,"Não executado",IF(ISNUMBER(F243)&lt;&gt;ISNUMBER(G243),"Tipo incompatível",IF(IF(E243="&lt;&gt;",G243&lt;&gt;F243,G243=F243),IF(OR(J243="",K243="",NOT(ISNUMBER(L243)),L243&lt;=0),"Evidência pendente","Compatível"),"Divergente")))</f>
        <v/>
      </c>
      <c r="J243" s="12" t="str"/>
      <c r="K243" s="12" t="str"/>
      <c r="L243" s="28" t="n"/>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c r="H244" s="32">
        <f>IF(AND(ISNUMBER(F244),ISNUMBER(G244)),G244-F244,"")</f>
        <v/>
      </c>
      <c r="I244" s="16">
        <f>IF(COUNTBLANK(G244)=1,"Não executado",IF(ISNUMBER(F244)&lt;&gt;ISNUMBER(G244),"Tipo incompatível",IF(IF(E244="&lt;&gt;",G244&lt;&gt;F244,G244=F244),IF(OR(J244="",K244="",NOT(ISNUMBER(L244)),L244&lt;=0),"Evidência pendente","Compatível"),"Divergente")))</f>
        <v/>
      </c>
      <c r="J244" s="12" t="str"/>
      <c r="K244" s="12" t="str"/>
      <c r="L244" s="28" t="n"/>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c r="H245" s="32">
        <f>IF(AND(ISNUMBER(F245),ISNUMBER(G245)),G245-F245,"")</f>
        <v/>
      </c>
      <c r="I245" s="16">
        <f>IF(COUNTBLANK(G245)=1,"Não executado",IF(ISNUMBER(F245)&lt;&gt;ISNUMBER(G245),"Tipo incompatível",IF(IF(E245="&lt;&gt;",G245&lt;&gt;F245,G245=F245),IF(OR(J245="",K245="",NOT(ISNUMBER(L245)),L245&lt;=0),"Evidência pendente","Compatível"),"Divergente")))</f>
        <v/>
      </c>
      <c r="J245" s="12" t="str"/>
      <c r="K245" s="12" t="str"/>
      <c r="L245" s="28" t="n"/>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c r="H275" s="29">
        <f>IF(AND(ISNUMBER(F275),ISNUMBER(G275)),G275-F275,"")</f>
        <v/>
      </c>
      <c r="I275" s="20">
        <f>IF(COUNTBLANK(G275)=1,"Não executado",IF(ISNUMBER(F275)&lt;&gt;ISNUMBER(G275),"Tipo incompatível",IF(IF(E275="&lt;&gt;",G275&lt;&gt;F275,G275=F275),IF(OR(J275="",K275="",NOT(ISNUMBER(L275)),L275&lt;=0),"Evidência pendente","Compatível"),"Divergente")))</f>
        <v/>
      </c>
      <c r="J275" s="23" t="str"/>
      <c r="K275" s="23" t="str"/>
      <c r="L275" s="31" t="n"/>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c r="H276" s="32">
        <f>IF(AND(ISNUMBER(F276),ISNUMBER(G276)),G276-F276,"")</f>
        <v/>
      </c>
      <c r="I276" s="16">
        <f>IF(COUNTBLANK(G276)=1,"Não executado",IF(ISNUMBER(F276)&lt;&gt;ISNUMBER(G276),"Tipo incompatível",IF(IF(E276="&lt;&gt;",G276&lt;&gt;F276,G276=F276),IF(OR(J276="",K276="",NOT(ISNUMBER(L276)),L276&lt;=0),"Evidência pendente","Compatível"),"Divergente")))</f>
        <v/>
      </c>
      <c r="J276" s="12" t="str"/>
      <c r="K276" s="12" t="str"/>
      <c r="L276" s="28" t="n"/>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c r="H277" s="32">
        <f>IF(AND(ISNUMBER(F277),ISNUMBER(G277)),G277-F277,"")</f>
        <v/>
      </c>
      <c r="I277" s="16">
        <f>IF(COUNTBLANK(G277)=1,"Não executado",IF(ISNUMBER(F277)&lt;&gt;ISNUMBER(G277),"Tipo incompatível",IF(IF(E277="&lt;&gt;",G277&lt;&gt;F277,G277=F277),IF(OR(J277="",K277="",NOT(ISNUMBER(L277)),L277&lt;=0),"Evidência pendente","Compatível"),"Divergente")))</f>
        <v/>
      </c>
      <c r="J277" s="12" t="str"/>
      <c r="K277" s="12" t="str"/>
      <c r="L277" s="28" t="n"/>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c r="H278" s="32">
        <f>IF(AND(ISNUMBER(F278),ISNUMBER(G278)),G278-F278,"")</f>
        <v/>
      </c>
      <c r="I278" s="16">
        <f>IF(COUNTBLANK(G278)=1,"Não executado",IF(ISNUMBER(F278)&lt;&gt;ISNUMBER(G278),"Tipo incompatível",IF(IF(E278="&lt;&gt;",G278&lt;&gt;F278,G278=F278),IF(OR(J278="",K278="",NOT(ISNUMBER(L278)),L278&lt;=0),"Evidência pendente","Compatível"),"Divergente")))</f>
        <v/>
      </c>
      <c r="J278" s="12" t="str"/>
      <c r="K278" s="12" t="str"/>
      <c r="L278" s="28" t="n"/>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c r="H279" s="32">
        <f>IF(AND(ISNUMBER(F279),ISNUMBER(G279)),G279-F279,"")</f>
        <v/>
      </c>
      <c r="I279" s="16">
        <f>IF(COUNTBLANK(G279)=1,"Não executado",IF(ISNUMBER(F279)&lt;&gt;ISNUMBER(G279),"Tipo incompatível",IF(IF(E279="&lt;&gt;",G279&lt;&gt;F279,G279=F279),IF(OR(J279="",K279="",NOT(ISNUMBER(L279)),L279&lt;=0),"Evidência pendente","Compatível"),"Divergente")))</f>
        <v/>
      </c>
      <c r="J279" s="12" t="str"/>
      <c r="K279" s="12" t="str"/>
      <c r="L279" s="28" t="n"/>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c r="H280" s="32">
        <f>IF(AND(ISNUMBER(F280),ISNUMBER(G280)),G280-F280,"")</f>
        <v/>
      </c>
      <c r="I280" s="16">
        <f>IF(COUNTBLANK(G280)=1,"Não executado",IF(ISNUMBER(F280)&lt;&gt;ISNUMBER(G280),"Tipo incompatível",IF(IF(E280="&lt;&gt;",G280&lt;&gt;F280,G280=F280),IF(OR(J280="",K280="",NOT(ISNUMBER(L280)),L280&lt;=0),"Evidência pendente","Compatível"),"Divergente")))</f>
        <v/>
      </c>
      <c r="J280" s="12" t="str"/>
      <c r="K280" s="12" t="str"/>
      <c r="L280" s="28" t="n"/>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c r="H281" s="32">
        <f>IF(AND(ISNUMBER(F281),ISNUMBER(G281)),G281-F281,"")</f>
        <v/>
      </c>
      <c r="I281" s="16">
        <f>IF(COUNTBLANK(G281)=1,"Não executado",IF(ISNUMBER(F281)&lt;&gt;ISNUMBER(G281),"Tipo incompatível",IF(IF(E281="&lt;&gt;",G281&lt;&gt;F281,G281=F281),IF(OR(J281="",K281="",NOT(ISNUMBER(L281)),L281&lt;=0),"Evidência pendente","Compatível"),"Divergente")))</f>
        <v/>
      </c>
      <c r="J281" s="12" t="str"/>
      <c r="K281" s="12" t="str"/>
      <c r="L281" s="28" t="n"/>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c r="H282" s="32">
        <f>IF(AND(ISNUMBER(F282),ISNUMBER(G282)),G282-F282,"")</f>
        <v/>
      </c>
      <c r="I282" s="16">
        <f>IF(COUNTBLANK(G282)=1,"Não executado",IF(ISNUMBER(F282)&lt;&gt;ISNUMBER(G282),"Tipo incompatível",IF(IF(E282="&lt;&gt;",G282&lt;&gt;F282,G282=F282),IF(OR(J282="",K282="",NOT(ISNUMBER(L282)),L282&lt;=0),"Evidência pendente","Compatível"),"Divergente")))</f>
        <v/>
      </c>
      <c r="J282" s="12" t="str"/>
      <c r="K282" s="12" t="str"/>
      <c r="L282" s="28" t="n"/>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c r="H295" s="29">
        <f>IF(AND(ISNUMBER(F295),ISNUMBER(G295)),G295-F295,"")</f>
        <v/>
      </c>
      <c r="I295" s="20">
        <f>IF(COUNTBLANK(G295)=1,"Não executado",IF(ISNUMBER(F295)&lt;&gt;ISNUMBER(G295),"Tipo incompatível",IF(IF(E295="&lt;&gt;",G295&lt;&gt;F295,G295=F295),IF(OR(J295="",K295="",NOT(ISNUMBER(L295)),L295&lt;=0),"Evidência pendente","Compatível"),"Divergente")))</f>
        <v/>
      </c>
      <c r="J295" s="23" t="str"/>
      <c r="K295" s="23" t="str"/>
      <c r="L295" s="31" t="n"/>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c r="H296" s="32">
        <f>IF(AND(ISNUMBER(F296),ISNUMBER(G296)),G296-F296,"")</f>
        <v/>
      </c>
      <c r="I296" s="16">
        <f>IF(COUNTBLANK(G296)=1,"Não executado",IF(ISNUMBER(F296)&lt;&gt;ISNUMBER(G296),"Tipo incompatível",IF(IF(E296="&lt;&gt;",G296&lt;&gt;F296,G296=F296),IF(OR(J296="",K296="",NOT(ISNUMBER(L296)),L296&lt;=0),"Evidência pendente","Compatível"),"Divergente")))</f>
        <v/>
      </c>
      <c r="J296" s="12" t="str"/>
      <c r="K296" s="12" t="str"/>
      <c r="L296" s="28" t="n"/>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c r="H297" s="32">
        <f>IF(AND(ISNUMBER(F297),ISNUMBER(G297)),G297-F297,"")</f>
        <v/>
      </c>
      <c r="I297" s="16">
        <f>IF(COUNTBLANK(G297)=1,"Não executado",IF(ISNUMBER(F297)&lt;&gt;ISNUMBER(G297),"Tipo incompatível",IF(IF(E297="&lt;&gt;",G297&lt;&gt;F297,G297=F297),IF(OR(J297="",K297="",NOT(ISNUMBER(L297)),L297&lt;=0),"Evidência pendente","Compatível"),"Divergente")))</f>
        <v/>
      </c>
      <c r="J297" s="12" t="str"/>
      <c r="K297" s="12" t="str"/>
      <c r="L297" s="28" t="n"/>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c r="H298" s="32">
        <f>IF(AND(ISNUMBER(F298),ISNUMBER(G298)),G298-F298,"")</f>
        <v/>
      </c>
      <c r="I298" s="16">
        <f>IF(COUNTBLANK(G298)=1,"Não executado",IF(ISNUMBER(F298)&lt;&gt;ISNUMBER(G298),"Tipo incompatível",IF(IF(E298="&lt;&gt;",G298&lt;&gt;F298,G298=F298),IF(OR(J298="",K298="",NOT(ISNUMBER(L298)),L298&lt;=0),"Evidência pendente","Compatível"),"Divergente")))</f>
        <v/>
      </c>
      <c r="J298" s="12" t="str"/>
      <c r="K298" s="12" t="str"/>
      <c r="L298" s="28" t="n"/>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c r="H299" s="32">
        <f>IF(AND(ISNUMBER(F299),ISNUMBER(G299)),G299-F299,"")</f>
        <v/>
      </c>
      <c r="I299" s="16">
        <f>IF(COUNTBLANK(G299)=1,"Não executado",IF(ISNUMBER(F299)&lt;&gt;ISNUMBER(G299),"Tipo incompatível",IF(IF(E299="&lt;&gt;",G299&lt;&gt;F299,G299=F299),IF(OR(J299="",K299="",NOT(ISNUMBER(L299)),L299&lt;=0),"Evidência pendente","Compatível"),"Divergente")))</f>
        <v/>
      </c>
      <c r="J299" s="12" t="str"/>
      <c r="K299" s="12" t="str"/>
      <c r="L299" s="28" t="n"/>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c r="H300" s="32">
        <f>IF(AND(ISNUMBER(F300),ISNUMBER(G300)),G300-F300,"")</f>
        <v/>
      </c>
      <c r="I300" s="16">
        <f>IF(COUNTBLANK(G300)=1,"Não executado",IF(ISNUMBER(F300)&lt;&gt;ISNUMBER(G300),"Tipo incompatível",IF(IF(E300="&lt;&gt;",G300&lt;&gt;F300,G300=F300),IF(OR(J300="",K300="",NOT(ISNUMBER(L300)),L300&lt;=0),"Evidência pendente","Compatível"),"Divergente")))</f>
        <v/>
      </c>
      <c r="J300" s="12" t="str"/>
      <c r="K300" s="12" t="str"/>
      <c r="L300" s="28" t="n"/>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c r="H301" s="32">
        <f>IF(AND(ISNUMBER(F301),ISNUMBER(G301)),G301-F301,"")</f>
        <v/>
      </c>
      <c r="I301" s="16">
        <f>IF(COUNTBLANK(G301)=1,"Não executado",IF(ISNUMBER(F301)&lt;&gt;ISNUMBER(G301),"Tipo incompatível",IF(IF(E301="&lt;&gt;",G301&lt;&gt;F301,G301=F301),IF(OR(J301="",K301="",NOT(ISNUMBER(L301)),L301&lt;=0),"Evidência pendente","Compatível"),"Divergente")))</f>
        <v/>
      </c>
      <c r="J301" s="12" t="str"/>
      <c r="K301" s="12" t="str"/>
      <c r="L301" s="28" t="n"/>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c r="H302" s="32">
        <f>IF(AND(ISNUMBER(F302),ISNUMBER(G302)),G302-F302,"")</f>
        <v/>
      </c>
      <c r="I302" s="16">
        <f>IF(COUNTBLANK(G302)=1,"Não executado",IF(ISNUMBER(F302)&lt;&gt;ISNUMBER(G302),"Tipo incompatível",IF(IF(E302="&lt;&gt;",G302&lt;&gt;F302,G302=F302),IF(OR(J302="",K302="",NOT(ISNUMBER(L302)),L302&lt;=0),"Evidência pendente","Compatível"),"Divergente")))</f>
        <v/>
      </c>
      <c r="J302" s="12" t="str"/>
      <c r="K302" s="12" t="str"/>
      <c r="L302" s="28" t="n"/>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c r="H303" s="32">
        <f>IF(AND(ISNUMBER(F303),ISNUMBER(G303)),G303-F303,"")</f>
        <v/>
      </c>
      <c r="I303" s="16">
        <f>IF(COUNTBLANK(G303)=1,"Não executado",IF(ISNUMBER(F303)&lt;&gt;ISNUMBER(G303),"Tipo incompatível",IF(IF(E303="&lt;&gt;",G303&lt;&gt;F303,G303=F303),IF(OR(J303="",K303="",NOT(ISNUMBER(L303)),L303&lt;=0),"Evidência pendente","Compatível"),"Divergente")))</f>
        <v/>
      </c>
      <c r="J303" s="12" t="str"/>
      <c r="K303" s="12" t="str"/>
      <c r="L303" s="28" t="n"/>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c r="H304" s="32">
        <f>IF(AND(ISNUMBER(F304),ISNUMBER(G304)),G304-F304,"")</f>
        <v/>
      </c>
      <c r="I304" s="16">
        <f>IF(COUNTBLANK(G304)=1,"Não executado",IF(ISNUMBER(F304)&lt;&gt;ISNUMBER(G304),"Tipo incompatível",IF(IF(E304="&lt;&gt;",G304&lt;&gt;F304,G304=F304),IF(OR(J304="",K304="",NOT(ISNUMBER(L304)),L304&lt;=0),"Evidência pendente","Compatível"),"Divergente")))</f>
        <v/>
      </c>
      <c r="J304" s="12" t="str"/>
      <c r="K304" s="12" t="str"/>
      <c r="L304" s="28" t="n"/>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c r="H305" s="32">
        <f>IF(AND(ISNUMBER(F305),ISNUMBER(G305)),G305-F305,"")</f>
        <v/>
      </c>
      <c r="I305" s="16">
        <f>IF(COUNTBLANK(G305)=1,"Não executado",IF(ISNUMBER(F305)&lt;&gt;ISNUMBER(G305),"Tipo incompatível",IF(IF(E305="&lt;&gt;",G305&lt;&gt;F305,G305=F305),IF(OR(J305="",K305="",NOT(ISNUMBER(L305)),L305&lt;=0),"Evidência pendente","Compatível"),"Divergente")))</f>
        <v/>
      </c>
      <c r="J305" s="12" t="str"/>
      <c r="K305" s="12" t="str"/>
      <c r="L305" s="28" t="n"/>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c r="H306" s="29">
        <f>IF(AND(ISNUMBER(F306),ISNUMBER(G306)),G306-F306,"")</f>
        <v/>
      </c>
      <c r="I306" s="20">
        <f>IF(COUNTBLANK(G306)=1,"Não executado",IF(ISNUMBER(F306)&lt;&gt;ISNUMBER(G306),"Tipo incompatível",IF(IF(E306="&lt;&gt;",G306&lt;&gt;F306,G306=F306),IF(OR(J306="",K306="",NOT(ISNUMBER(L306)),L306&lt;=0),"Evidência pendente","Compatível"),"Divergente")))</f>
        <v/>
      </c>
      <c r="J306" s="23" t="str"/>
      <c r="K306" s="23" t="str"/>
      <c r="L306" s="31" t="n"/>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c r="H307" s="32">
        <f>IF(AND(ISNUMBER(F307),ISNUMBER(G307)),G307-F307,"")</f>
        <v/>
      </c>
      <c r="I307" s="16">
        <f>IF(COUNTBLANK(G307)=1,"Não executado",IF(ISNUMBER(F307)&lt;&gt;ISNUMBER(G307),"Tipo incompatível",IF(IF(E307="&lt;&gt;",G307&lt;&gt;F307,G307=F307),IF(OR(J307="",K307="",NOT(ISNUMBER(L307)),L307&lt;=0),"Evidência pendente","Compatível"),"Divergente")))</f>
        <v/>
      </c>
      <c r="J307" s="12" t="str"/>
      <c r="K307" s="12" t="str"/>
      <c r="L307" s="28" t="n"/>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c r="H308" s="34">
        <f>IF(AND(ISNUMBER(F308),ISNUMBER(G308)),G308-F308,"")</f>
        <v/>
      </c>
      <c r="I308" s="16">
        <f>IF(COUNTBLANK(G308)=1,"Não executado",IF(ISNUMBER(F308)&lt;&gt;ISNUMBER(G308),"Tipo incompatível",IF(IF(E308="&lt;&gt;",G308&lt;&gt;F308,G308=F308),IF(OR(J308="",K308="",NOT(ISNUMBER(L308)),L308&lt;=0),"Evidência pendente","Compatível"),"Divergente")))</f>
        <v/>
      </c>
      <c r="J308" s="12" t="str"/>
      <c r="K308" s="12" t="str"/>
      <c r="L308" s="28" t="n"/>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c r="H309" s="32">
        <f>IF(AND(ISNUMBER(F309),ISNUMBER(G309)),G309-F309,"")</f>
        <v/>
      </c>
      <c r="I309" s="16">
        <f>IF(COUNTBLANK(G309)=1,"Não executado",IF(ISNUMBER(F309)&lt;&gt;ISNUMBER(G309),"Tipo incompatível",IF(IF(E309="&lt;&gt;",G309&lt;&gt;F309,G309=F309),IF(OR(J309="",K309="",NOT(ISNUMBER(L309)),L309&lt;=0),"Evidência pendente","Compatível"),"Divergente")))</f>
        <v/>
      </c>
      <c r="J309" s="12" t="str"/>
      <c r="K309" s="12" t="str"/>
      <c r="L309" s="28" t="n"/>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c r="H310" s="32">
        <f>IF(AND(ISNUMBER(F310),ISNUMBER(G310)),G310-F310,"")</f>
        <v/>
      </c>
      <c r="I310" s="16">
        <f>IF(COUNTBLANK(G310)=1,"Não executado",IF(ISNUMBER(F310)&lt;&gt;ISNUMBER(G310),"Tipo incompatível",IF(IF(E310="&lt;&gt;",G310&lt;&gt;F310,G310=F310),IF(OR(J310="",K310="",NOT(ISNUMBER(L310)),L310&lt;=0),"Evidência pendente","Compatível"),"Divergente")))</f>
        <v/>
      </c>
      <c r="J310" s="12" t="str"/>
      <c r="K310" s="12" t="str"/>
      <c r="L310" s="28" t="n"/>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c r="H311" s="34">
        <f>IF(AND(ISNUMBER(F311),ISNUMBER(G311)),G311-F311,"")</f>
        <v/>
      </c>
      <c r="I311" s="16">
        <f>IF(COUNTBLANK(G311)=1,"Não executado",IF(ISNUMBER(F311)&lt;&gt;ISNUMBER(G311),"Tipo incompatível",IF(IF(E311="&lt;&gt;",G311&lt;&gt;F311,G311=F311),IF(OR(J311="",K311="",NOT(ISNUMBER(L311)),L311&lt;=0),"Evidência pendente","Compatível"),"Divergente")))</f>
        <v/>
      </c>
      <c r="J311" s="12" t="str"/>
      <c r="K311" s="12" t="str"/>
      <c r="L311" s="28" t="n"/>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n"/>
      <c r="H312" s="32">
        <f>IF(AND(ISNUMBER(F312),ISNUMBER(G312)),G312-F312,"")</f>
        <v/>
      </c>
      <c r="I312" s="16">
        <f>IF(COUNTBLANK(G312)=1,"Não executado",IF(ISNUMBER(F312)&lt;&gt;ISNUMBER(G312),"Tipo incompatível",IF(IF(E312="&lt;&gt;",G312&lt;&gt;F312,G312=F312),IF(OR(J312="",K312="",NOT(ISNUMBER(L312)),L312&lt;=0),"Evidência pendente","Compatível"),"Divergente")))</f>
        <v/>
      </c>
      <c r="J312" s="12" t="str"/>
      <c r="K312" s="12" t="str"/>
      <c r="L312" s="28" t="n"/>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n"/>
      <c r="H313" s="32">
        <f>IF(AND(ISNUMBER(F313),ISNUMBER(G313)),G313-F313,"")</f>
        <v/>
      </c>
      <c r="I313" s="16">
        <f>IF(COUNTBLANK(G313)=1,"Não executado",IF(ISNUMBER(F313)&lt;&gt;ISNUMBER(G313),"Tipo incompatível",IF(IF(E313="&lt;&gt;",G313&lt;&gt;F313,G313=F313),IF(OR(J313="",K313="",NOT(ISNUMBER(L313)),L313&lt;=0),"Evidência pendente","Compatível"),"Divergente")))</f>
        <v/>
      </c>
      <c r="J313" s="12" t="str"/>
      <c r="K313" s="12" t="str"/>
      <c r="L313" s="28" t="n"/>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c r="H314" s="32">
        <f>IF(AND(ISNUMBER(F314),ISNUMBER(G314)),G314-F314,"")</f>
        <v/>
      </c>
      <c r="I314" s="16">
        <f>IF(COUNTBLANK(G314)=1,"Não executado",IF(ISNUMBER(F314)&lt;&gt;ISNUMBER(G314),"Tipo incompatível",IF(IF(E314="&lt;&gt;",G314&lt;&gt;F314,G314=F314),IF(OR(J314="",K314="",NOT(ISNUMBER(L314)),L314&lt;=0),"Evidência pendente","Compatível"),"Divergente")))</f>
        <v/>
      </c>
      <c r="J314" s="12" t="str"/>
      <c r="K314" s="12" t="str"/>
      <c r="L314" s="28" t="n"/>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c r="H315" s="32">
        <f>IF(AND(ISNUMBER(F315),ISNUMBER(G315)),G315-F315,"")</f>
        <v/>
      </c>
      <c r="I315" s="16">
        <f>IF(COUNTBLANK(G315)=1,"Não executado",IF(ISNUMBER(F315)&lt;&gt;ISNUMBER(G315),"Tipo incompatível",IF(IF(E315="&lt;&gt;",G315&lt;&gt;F315,G315=F315),IF(OR(J315="",K315="",NOT(ISNUMBER(L315)),L315&lt;=0),"Evidência pendente","Compatível"),"Divergente")))</f>
        <v/>
      </c>
      <c r="J315" s="12" t="str"/>
      <c r="K315" s="12" t="str"/>
      <c r="L315" s="28" t="n"/>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c r="H316" s="32">
        <f>IF(AND(ISNUMBER(F316),ISNUMBER(G316)),G316-F316,"")</f>
        <v/>
      </c>
      <c r="I316" s="16">
        <f>IF(COUNTBLANK(G316)=1,"Não executado",IF(ISNUMBER(F316)&lt;&gt;ISNUMBER(G316),"Tipo incompatível",IF(IF(E316="&lt;&gt;",G316&lt;&gt;F316,G316=F316),IF(OR(J316="",K316="",NOT(ISNUMBER(L316)),L316&lt;=0),"Evidência pendente","Compatível"),"Divergente")))</f>
        <v/>
      </c>
      <c r="J316" s="12" t="str"/>
      <c r="K316" s="12" t="str"/>
      <c r="L316" s="28" t="n"/>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n"/>
      <c r="H317" s="32">
        <f>IF(AND(ISNUMBER(F317),ISNUMBER(G317)),G317-F317,"")</f>
        <v/>
      </c>
      <c r="I317" s="16">
        <f>IF(COUNTBLANK(G317)=1,"Não executado",IF(ISNUMBER(F317)&lt;&gt;ISNUMBER(G317),"Tipo incompatível",IF(IF(E317="&lt;&gt;",G317&lt;&gt;F317,G317=F317),IF(OR(J317="",K317="",NOT(ISNUMBER(L317)),L317&lt;=0),"Evidência pendente","Compatível"),"Divergente")))</f>
        <v/>
      </c>
      <c r="J317" s="12" t="str"/>
      <c r="K317" s="12" t="str"/>
      <c r="L317" s="28" t="n"/>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c r="H344" s="29">
        <f>IF(AND(ISNUMBER(F344),ISNUMBER(G344)),G344-F344,"")</f>
        <v/>
      </c>
      <c r="I344" s="20">
        <f>IF(COUNTBLANK(G344)=1,"Não executado",IF(ISNUMBER(F344)&lt;&gt;ISNUMBER(G344),"Tipo incompatível",IF(IF(E344="&lt;&gt;",G344&lt;&gt;F344,G344=F344),IF(OR(J344="",K344="",NOT(ISNUMBER(L344)),L344&lt;=0),"Evidência pendente","Compatível"),"Divergente")))</f>
        <v/>
      </c>
      <c r="J344" s="23" t="str"/>
      <c r="K344" s="23" t="str"/>
      <c r="L344" s="31" t="n"/>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c r="H345" s="32">
        <f>IF(AND(ISNUMBER(F345),ISNUMBER(G345)),G345-F345,"")</f>
        <v/>
      </c>
      <c r="I345" s="16">
        <f>IF(COUNTBLANK(G345)=1,"Não executado",IF(ISNUMBER(F345)&lt;&gt;ISNUMBER(G345),"Tipo incompatível",IF(IF(E345="&lt;&gt;",G345&lt;&gt;F345,G345=F345),IF(OR(J345="",K345="",NOT(ISNUMBER(L345)),L345&lt;=0),"Evidência pendente","Compatível"),"Divergente")))</f>
        <v/>
      </c>
      <c r="J345" s="12" t="str"/>
      <c r="K345" s="12" t="str"/>
      <c r="L345" s="28" t="n"/>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c r="H346" s="32">
        <f>IF(AND(ISNUMBER(F346),ISNUMBER(G346)),G346-F346,"")</f>
        <v/>
      </c>
      <c r="I346" s="16">
        <f>IF(COUNTBLANK(G346)=1,"Não executado",IF(ISNUMBER(F346)&lt;&gt;ISNUMBER(G346),"Tipo incompatível",IF(IF(E346="&lt;&gt;",G346&lt;&gt;F346,G346=F346),IF(OR(J346="",K346="",NOT(ISNUMBER(L346)),L346&lt;=0),"Evidência pendente","Compatível"),"Divergente")))</f>
        <v/>
      </c>
      <c r="J346" s="12" t="str"/>
      <c r="K346" s="12" t="str"/>
      <c r="L346" s="28" t="n"/>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c r="H347" s="32">
        <f>IF(AND(ISNUMBER(F347),ISNUMBER(G347)),G347-F347,"")</f>
        <v/>
      </c>
      <c r="I347" s="16">
        <f>IF(COUNTBLANK(G347)=1,"Não executado",IF(ISNUMBER(F347)&lt;&gt;ISNUMBER(G347),"Tipo incompatível",IF(IF(E347="&lt;&gt;",G347&lt;&gt;F347,G347=F347),IF(OR(J347="",K347="",NOT(ISNUMBER(L347)),L347&lt;=0),"Evidência pendente","Compatível"),"Divergente")))</f>
        <v/>
      </c>
      <c r="J347" s="12" t="str"/>
      <c r="K347" s="12" t="str"/>
      <c r="L347" s="28" t="n"/>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c r="H348" s="32">
        <f>IF(AND(ISNUMBER(F348),ISNUMBER(G348)),G348-F348,"")</f>
        <v/>
      </c>
      <c r="I348" s="16">
        <f>IF(COUNTBLANK(G348)=1,"Não executado",IF(ISNUMBER(F348)&lt;&gt;ISNUMBER(G348),"Tipo incompatível",IF(IF(E348="&lt;&gt;",G348&lt;&gt;F348,G348=F348),IF(OR(J348="",K348="",NOT(ISNUMBER(L348)),L348&lt;=0),"Evidência pendente","Compatível"),"Divergente")))</f>
        <v/>
      </c>
      <c r="J348" s="12" t="str"/>
      <c r="K348" s="12" t="str"/>
      <c r="L348" s="28" t="n"/>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c r="H349" s="32">
        <f>IF(AND(ISNUMBER(F349),ISNUMBER(G349)),G349-F349,"")</f>
        <v/>
      </c>
      <c r="I349" s="16">
        <f>IF(COUNTBLANK(G349)=1,"Não executado",IF(ISNUMBER(F349)&lt;&gt;ISNUMBER(G349),"Tipo incompatível",IF(IF(E349="&lt;&gt;",G349&lt;&gt;F349,G349=F349),IF(OR(J349="",K349="",NOT(ISNUMBER(L349)),L349&lt;=0),"Evidência pendente","Compatível"),"Divergente")))</f>
        <v/>
      </c>
      <c r="J349" s="12" t="str"/>
      <c r="K349" s="12" t="str"/>
      <c r="L349" s="28" t="n"/>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c r="H350" s="29">
        <f>IF(AND(ISNUMBER(F350),ISNUMBER(G350)),G350-F350,"")</f>
        <v/>
      </c>
      <c r="I350" s="20">
        <f>IF(COUNTBLANK(G350)=1,"Não executado",IF(ISNUMBER(F350)&lt;&gt;ISNUMBER(G350),"Tipo incompatível",IF(IF(E350="&lt;&gt;",G350&lt;&gt;F350,G350=F350),IF(OR(J350="",K350="",NOT(ISNUMBER(L350)),L350&lt;=0),"Evidência pendente","Compatível"),"Divergente")))</f>
        <v/>
      </c>
      <c r="J350" s="23" t="str"/>
      <c r="K350" s="23" t="str"/>
      <c r="L350" s="31" t="n"/>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c r="H351" s="32">
        <f>IF(AND(ISNUMBER(F351),ISNUMBER(G351)),G351-F351,"")</f>
        <v/>
      </c>
      <c r="I351" s="16">
        <f>IF(COUNTBLANK(G351)=1,"Não executado",IF(ISNUMBER(F351)&lt;&gt;ISNUMBER(G351),"Tipo incompatível",IF(IF(E351="&lt;&gt;",G351&lt;&gt;F351,G351=F351),IF(OR(J351="",K351="",NOT(ISNUMBER(L351)),L351&lt;=0),"Evidência pendente","Compatível"),"Divergente")))</f>
        <v/>
      </c>
      <c r="J351" s="12" t="str"/>
      <c r="K351" s="12" t="str"/>
      <c r="L351" s="28" t="n"/>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c r="H352" s="32">
        <f>IF(AND(ISNUMBER(F352),ISNUMBER(G352)),G352-F352,"")</f>
        <v/>
      </c>
      <c r="I352" s="16">
        <f>IF(COUNTBLANK(G352)=1,"Não executado",IF(ISNUMBER(F352)&lt;&gt;ISNUMBER(G352),"Tipo incompatível",IF(IF(E352="&lt;&gt;",G352&lt;&gt;F352,G352=F352),IF(OR(J352="",K352="",NOT(ISNUMBER(L352)),L352&lt;=0),"Evidência pendente","Compatível"),"Divergente")))</f>
        <v/>
      </c>
      <c r="J352" s="12" t="str"/>
      <c r="K352" s="12" t="str"/>
      <c r="L352" s="28" t="n"/>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c r="H353" s="32">
        <f>IF(AND(ISNUMBER(F353),ISNUMBER(G353)),G353-F353,"")</f>
        <v/>
      </c>
      <c r="I353" s="16">
        <f>IF(COUNTBLANK(G353)=1,"Não executado",IF(ISNUMBER(F353)&lt;&gt;ISNUMBER(G353),"Tipo incompatível",IF(IF(E353="&lt;&gt;",G353&lt;&gt;F353,G353=F353),IF(OR(J353="",K353="",NOT(ISNUMBER(L353)),L353&lt;=0),"Evidência pendente","Compatível"),"Divergente")))</f>
        <v/>
      </c>
      <c r="J353" s="12" t="str"/>
      <c r="K353" s="12" t="str"/>
      <c r="L353" s="28" t="n"/>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c r="H354" s="32">
        <f>IF(AND(ISNUMBER(F354),ISNUMBER(G354)),G354-F354,"")</f>
        <v/>
      </c>
      <c r="I354" s="16">
        <f>IF(COUNTBLANK(G354)=1,"Não executado",IF(ISNUMBER(F354)&lt;&gt;ISNUMBER(G354),"Tipo incompatível",IF(IF(E354="&lt;&gt;",G354&lt;&gt;F354,G354=F354),IF(OR(J354="",K354="",NOT(ISNUMBER(L354)),L354&lt;=0),"Evidência pendente","Compatível"),"Divergente")))</f>
        <v/>
      </c>
      <c r="J354" s="12" t="str"/>
      <c r="K354" s="12" t="str"/>
      <c r="L354" s="28" t="n"/>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c r="H355" s="32">
        <f>IF(AND(ISNUMBER(F355),ISNUMBER(G355)),G355-F355,"")</f>
        <v/>
      </c>
      <c r="I355" s="16">
        <f>IF(COUNTBLANK(G355)=1,"Não executado",IF(ISNUMBER(F355)&lt;&gt;ISNUMBER(G355),"Tipo incompatível",IF(IF(E355="&lt;&gt;",G355&lt;&gt;F355,G355=F355),IF(OR(J355="",K355="",NOT(ISNUMBER(L355)),L355&lt;=0),"Evidência pendente","Compatível"),"Divergente")))</f>
        <v/>
      </c>
      <c r="J355" s="12" t="str"/>
      <c r="K355" s="12" t="str"/>
      <c r="L355" s="28" t="n"/>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2026-10-21T18:06:45Z</dcterms:modified>
</cp:coreProperties>
</file>