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 xmlns:r="http://schemas.openxmlformats.org/officeDocument/2006/relationships" name="Etapa8_Cobertura" sheetId="6" state="visible" r:id="rId6"/>
    <sheet xmlns:r="http://schemas.openxmlformats.org/officeDocument/2006/relationships" name="Etapa9_Confronto" sheetId="7" state="visible" r:id="rId7"/>
    <sheet xmlns:r="http://schemas.openxmlformats.org/officeDocument/2006/relationships" name="Etapa10_CT10" sheetId="8" state="visible" r:id="rId8"/>
    <sheet xmlns:r="http://schemas.openxmlformats.org/officeDocument/2006/relationships" name="Etapa11_Reconciliacao" sheetId="9" state="visible" r:id="rId9"/>
    <sheet xmlns:r="http://schemas.openxmlformats.org/officeDocument/2006/relationships" name="Etapa12_16" sheetId="10" state="visible" r:id="rId10"/>
    <sheet xmlns:r="http://schemas.openxmlformats.org/officeDocument/2006/relationships" name="Etapa12_4_Resultados" sheetId="11" state="visible" r:id="rId11"/>
    <sheet xmlns:r="http://schemas.openxmlformats.org/officeDocument/2006/relationships" name="Etapa13_30" sheetId="12" state="visible" r:id="rId12"/>
    <sheet xmlns:r="http://schemas.openxmlformats.org/officeDocument/2006/relationships" name="Etapa13_2_Resultados" sheetId="13" state="visible" r:id="rId13"/>
  </sheets>
  <definedNames>
    <definedName name="_xlnm._FilterDatabase" localSheetId="4" hidden="1">'Etapa7_Cobertura'!$A$1:$F$31</definedName>
    <definedName name="_xlnm._FilterDatabase" localSheetId="5" hidden="1">'Etapa8_Cobertura'!$A$1:$F$31</definedName>
    <definedName name="_xlnm._FilterDatabase" localSheetId="6" hidden="1">'Etapa9_Confronto'!$A$1:$J$31</definedName>
    <definedName name="_xlnm._FilterDatabase" localSheetId="7" hidden="1">'Etapa10_CT10'!$A$1:$L$2</definedName>
    <definedName name="_xlnm._FilterDatabase" localSheetId="8" hidden="1">'Etapa11_Reconciliacao'!$A$1:$D$11</definedName>
    <definedName name="_xlnm._FilterDatabase" localSheetId="9" hidden="1">'Etapa12_16'!$A$1:$K$17</definedName>
    <definedName name="_xlnm._FilterDatabase" localSheetId="10" hidden="1">'Etapa12_4_Resultados'!$A$1:$F$51</definedName>
    <definedName name="_xlnm._FilterDatabase" localSheetId="11" hidden="1">'Etapa13_30'!$A$1:$J$31</definedName>
    <definedName name="_xlnm._FilterDatabase" localSheetId="12" hidden="1">'Etapa13_2_Resultados'!$A$1:$F$20</definedName>
  </definedNames>
  <calcPr calcId="191029" fullCalcOnLoad="1" forceFullCalc="1"/>
</workbook>
</file>

<file path=xl/styles.xml><?xml version="1.0" encoding="utf-8"?>
<styleSheet xmlns="http://schemas.openxmlformats.org/spreadsheetml/2006/main">
  <numFmts count="1">
    <numFmt numFmtId="164" formatCode="dd/mm/yyyy"/>
  </numFmts>
  <fonts count="6">
    <font>
      <name val="Carlito"/>
      <sz val="11"/>
    </font>
    <font>
      <name val="Arial"/>
      <color rgb="FF183B4A"/>
      <sz val="10"/>
    </font>
    <font>
      <name val="Arial"/>
      <b val="1"/>
      <color rgb="FF152D38"/>
      <sz val="15"/>
    </font>
    <font>
      <name val="Arial"/>
      <b val="1"/>
      <color rgb="FFFFFFFF"/>
      <sz val="10"/>
    </font>
    <font>
      <name val="Arial"/>
      <i val="1"/>
      <color rgb="FF526A74"/>
      <sz val="10"/>
    </font>
    <font>
      <b val="1"/>
      <color rgb="00FFFFFF"/>
    </font>
  </fonts>
  <fills count="5">
    <fill>
      <patternFill/>
    </fill>
    <fill>
      <patternFill patternType="gray125"/>
    </fill>
    <fill>
      <patternFill patternType="solid">
        <fgColor rgb="FF244B5A"/>
      </patternFill>
    </fill>
    <fill>
      <patternFill patternType="solid">
        <fgColor rgb="FFFFF4CE"/>
      </patternFill>
    </fill>
    <fill>
      <patternFill patternType="solid">
        <fgColor rgb="00008780"/>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0" fontId="5" fillId="4" borderId="0" pivotButton="0" quotePrefix="0" xfId="0"/>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 | etapa13-segundo-grupo/README.md; MATRIZ-30.md; evidencias/comparacao-2.json; execucoes.json</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 | Etapa13: CT24 mantém três títulos e autorizações UA/UB/UR/UG; resposta de contratos do fluxo aplica entidade autorizada. Leitura nativa de Engenharia, Auth, storage e demais canais ainda pendentes.</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 | etapa12-parciais/README.md; MATRIZ-16.md; evidencias/comparacao-4.json; execucoes.json</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 | Etapa12: CT02 SQL/aplicação concordam nos três cortesT/K; timestamps equivalentes e pré-criação protegidos. Demais competências/cortes reais pendentes.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 | etapa12-parciais/README.md; MATRIZ-16.md; evidencias/comparacao-4.json; execucoes.json</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 | Etapa12: CT02 reimportação e aprovação fictícia preservam duas versões e autoria/motivo; estornos/fechamento econômico ainda têm outras pendências.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 | etapa12-parciais/README.md; MATRIZ-16.md; evidencias/comparacao-4.json; execucoes.json</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 | Etapa12: CT02 uma identidade, revisão10.000→12.000 e replay sem versão extra. Não é certificação da integração remota.</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 | etapa11-reconciliacao/README.md; evidencias/reconciliacao.json; evidencias/Reconciliacao_F011_F007.xlsx</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 | Etapa11: 3261 IDs/parcelas, valores e datas idênticos F011/F007; 165 páginas conferidas. Diferença149.589,33 localizada entre linhas e resumo Pago do próprio PDF. Causa financeira/componentes e fórmula de origem ausentes; não concluída.</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validação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etapa8-fluxo/README.md;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corrigido na fixture: validar obrigação por entidade antes de pagar, sem atribuir obra. Aberto8.000; sem obra2.000 após pagamento2.000. Custo não é presumido do título: exige valor/competência explícitos ou fica pendente. D01 legado e aceite nominal pendentes.</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etapa8-fluxo/README.md;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Cobertura rastreável por cenário/entidade/obra, título e ocorrência. Vínculo nativo de nota/medição/contrato compartilhado com Etapa7. Rateio documental amplo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etapa9-homologacao/README.md; MATRIZ-30.md; PARCIAIS-18.md; evidencias/ponte.json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CT11 oráculo60/40 e maior resto passa; multiobra continua pendente de ledger e teste integral. Quarentena multi_project_requires_ledger é preservada.</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etapa8-fluxo/README.md; CENARIOS-30.md; evidencias/execucoes.json; evidencias/liquidacoes.json | etapa12-parciais/README.md; MATRIZ-16.md; evidencias/comparacao-4.json; execucoes.json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e 16 controles da Etapa7 repetidos. Liquidação parcial preservada; nenhum aceite nominal emitido. | Etapa12: CT03 dois pagamentos3.000/2.000, aberto7.000/5.000, custo reconhecido10.000 preservado e zero custo adicional.</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validação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etapa9-homologacao/README.md; MATRIZ-30.md; PARCIAIS-18.md; evidencias/ponte.json | etapa12-parciais/README.md; MATRIZ-16.md; evidencias/comparacao-4.json; execucoes.json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Extratos fixos independentes CT03/13/14/23/22/06/10:9 posições fecham no centavo; banco real/corte comum ausentes. Conciliação não cria dinheiro. CT03 custo ainda parcial. | Etapa12: CT03 extrato independente e reimportação conservam5.000 de caixa, duas saídas, zero novo caixa por conciliar.</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validação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etapa10-ct10/README.md; evidencias/comparacao-ct10.json; evidencias/execucoes.json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CT10: adiantamento integral pago é convertido em direito, não fica disponível para nova aplicação. Histórico/AP/banco preservados; demais cenários de adiantamento permanecem com pendências anteriores.</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etapa9-homologacao/README.md; MATRIZ-30.md; PARCIAIS-18.md; evidencias/ponte.json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CT06 conserva100.000 nos componentes; falta geração nativa pai/filhos, cobertura/custo e liberação condicionada. Não homologado integralmente.</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etapa8-fluxo/README.md;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Estornos/devoluções Etapa7 preservados; evento inverso de transferência protege original. Estorno de trânsito sem crédito permanece em apuração.</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Em validação</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etapa10-ct10/README.md; evidencias/comparacao-ct10.json; evidencias/execucoes.json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CT10 corrigido e conforme ao oráculo isolado: bruto10.000, restituição6.000, líquido4.000, direito4.000, custo/obrigação/reabertura0. Outros cancelamentos e aceite financeiro nominal pendentes.</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etapa8-fluxo/README.md; CENARIOS-30.md; evidencias/execucoes.json; evidencias/liquidacoes.json | etapa12-parciais/README.md; MATRIZ-16.md; evidencias/comparacao-4.json; execucoes.json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Cobertura nativa e por ocorrência evita R/C/P duplicados; contrato dividido exige alocação explícita. Mapas universais e aceite real ainda pendentes. | Etapa12: CT18 cadeia P/C/R persistida sem sobrepor AF e encargo; CT05/CT06/CT28 e demais vínculos continuam pendentes.</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etapa8-fluxo/README.md;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P pode migrar para C em nova versão, e para R por vínculo sem recriar ocorrência. Previsão descoberta não é residual de orçamento. Reestimativa econômica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Em validação</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inlineStr">
        <is>
          <t>etapa8-fluxo/README.md; CENARIOS-30.md; evidencias/execucoes.json; evidencias/liquidacoes.json</t>
        </is>
      </c>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inlineStr">
        <is>
          <t>CT17 persiste original/reprogramado e fontes; saldo novembro80.000→−10.000, necessidade0→30.000. Cronograma físico altera C/P futuros em nova versão; vencimentos e realizado não são arrastados. Aceite financeiro nominal pendente.</t>
        </is>
      </c>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etapa8-fluxo/README.md; CENARIOS-30.md; evidencias/execucoes.json; evidencias/liquidacoes.json | etapa12-parciais/README.md; MATRIZ-16.md; evidencias/comparacao-4.json; execucoes.json | etapa13-segundo-grupo/README.md; MATRIZ-30.md; evidencias/comparacao-2.json; execucoes.json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Fluxo separa R/C/P/recebíveis/receita estimada/AF; horizontes30/90 cumulativos e sem data. Total até conclusão permanece parcial se faltar cobertura/datas/política. | Etapa12: CT18 A–F conforme, Q95.000+AF2.000 migra paraQ97.000 semAF; quadro não certificaQ real completo. | Etapa13: CT21 sinaliza ausência de vínculo no núcleo; R140.000 e compromisso840.000 separados; Q/EAC não certificados, sem ajuste artificial.</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etapa9-homologacao/README.md; MATRIZ-30.md; PARCIAIS-18.md; evidencias/ponte.json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CT13/14: todos os campos fictícios passam com títulos, parciais, encargo, tarifa e extratos independentes. Dados reais/Auth/aceite nominal pendentes.</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andamento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etapa10-ct10/README.md; evidencias/comparacao-ct10.json; evidencias/execucoes.json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CT10 agora passa no caminho de restituição de fornecedor, sem venda fictícia/receita/AP reaberto. CT21/22 e demais pendências da tarefa continuam abertas.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etapa9-homologacao/README.md; MATRIZ-30.md; PARCIAIS-18.md; evidencias/ponte.json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CT13 coorte30%, vencido6.120, aberto86.120; CT22 futuro contratual60.000/I1880.000 ainda sem mapa operacional; não presumir valores.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Em validação</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inlineStr">
        <is>
          <t>etapa8-fluxo/README.md; CENARIOS-30.md; evidencias/execucoes.json; evidencias/liquidacoes.json</t>
        </is>
      </c>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inlineStr">
        <is>
          <t>CT15 com abertura/extrato/links fictícios:39.985+20.000 trânsito no dia20;59.985 no dia21, tarifa15 única saída externa. Aceite de contas/extratos reais pendente.</t>
        </is>
      </c>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Em validação</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inlineStr">
        <is>
          <t>etapa8-fluxo/README.md; CENARIOS-30.md; evidencias/execucoes.json; evidencias/liquidacoes.json</t>
        </is>
      </c>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inlineStr">
        <is>
          <t>CT16: mútuo20.000, A/B30.000, consolidado60.000. Eliminação só explícita e com ambas as pontas autorizadas; nenhuma compensação automática de insuficiência entre titulares. D13 real/reapropriação integral pendentes.</t>
        </is>
      </c>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etapa8-fluxo/README.md;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Movimentos canônicos não podem ser apagados/cancelados pelo caminho legado; inversos e snapshots preservam histórico. CT20/retificação econômica e legado cancelado ainda pendentes.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etapa8-fluxo/README.md; CENARIOS-30.md; evidencias/execucoes.json; evidencias/liquidacoes.json | etapa11-reconciliacao/README.md; evidencias/reconciliacao.json; evidencias/Reconciliacao_F011_F007.xlsx | etapa13-segundo-grupo/README.md; MATRIZ-30.md; evidencias/comparacao-2.json; execucoes.json</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Quarentena sem obra continua na entidade, fonte declarada separada do saldo validado, abertura/restrições/datas desconhecidas não viram zero. Conciliação documental integral pendente. | Etapa11: igualdade documental não certifica caixa, competência, obrigação ou cobertura legal. 724 referências KOPER são substitutos de documento ausente. Manter ressalvas e residual149.589,33 sem ajuste. | Etapa13: CT21 dashboard e exportação JSON readonly recebem os mesmos indicadores centrais; snapshot comum sob concorrência e K histórico não certificados.</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Em andamento</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inlineStr">
        <is>
          <t>etapa8-fluxo/README.md; CENARIOS-30.md; evidencias/execucoes.json; evidencias/liquidacoes.json | etapa12-parciais/README.md; MATRIZ-16.md; evidencias/comparacao-4.json; execucoes.json</t>
        </is>
      </c>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inlineStr">
        <is>
          <t>Saldo por conta e continuidade passam; necessidade por entidade sem caixa compartilhado fictício. CT29 completo em componente; financiamento/escopos/restrições reais, mínimos e alçadas nominais pendentes. | Etapa12: CT29 disponível100.000, finais40.000/−30.000, necessidade50.000; amortização uma vez; origem real e aceite pendentes.</t>
        </is>
      </c>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etapa8-fluxo/README.md; CENARIOS-30.md; evidencias/execucoes.json; evidencias/liquidacoes.json | etapa13-segundo-grupo/README.md; MATRIZ-30.md; evidencias/comparacao-2.json; execucoes.json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Tela e carregador real usam núcleo comum; filtros/versões e exemplo SSR exercitados. Relatórios fiscais mantêm fonte própria; Auth/browser e exportações financeiras integrais pendentes. | Etapa13: CT21 retorno conserva null e fonte; nenhuma exceção operacional D12 foi liberada.</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etapa8-fluxo/README.md; CENARIOS-30.md; evidencias/execucoes.json; evidencias/liquidacoes.json | etapa12-parciais/README.md; MATRIZ-16.md; evidencias/comparacao-4.json; execucoes.json | etapa13-segundo-grupo/README.md; MATRIZ-30.md; evidencias/comparacao-2.json; execucoes.json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Consultas de fluxo e diagnóstico da IA usam o mesmo carregador da tela. Sem integração remota ou homologação documental; demais indicadores mantêm limitações anteriores. | Etapa12: CT29 IA recebe entidade autorizada e retorna a projeção do mesmo carregador/tela. Não homologa todos os indicadores/canais deCT21/24. | Etapa13: CT21/24 ferramenta real da IA e exportação usam a mesma posição capturada do carregador SQL/RLS. Sem certificado de todos os canais Auth/PostgREST.</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etapa9-homologacao/README.md; MATRIZ-30.md; PARCIAIS-18.md; evidencias/ponte.json | etapa13-segundo-grupo/README.md; MATRIZ-30.md; evidencias/comparacao-2.json; execucoes.json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Controles SQL preservados; cenário integral Auth/anexos/cache/exportações/IA/jobs ainda pendente. | Etapa13: CT24 SQL nega mutações UR/UA fora de entidade/organização. Persistem lacunas transversais de autorização da fonte nativa compartilhada.</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etapa10-ct10/README.md; evidencias/comparacao-ct10.json; evidencias/execucoes.json | etapa11-reconciliacao/README.md; evidencias/reconciliacao.json; evidencias/Reconciliacao_F011_F007.xlsx | etapa12-parciais/README.md; MATRIZ-16.md; evidencias/comparacao-4.json; execucoes.json | etapa13-segundo-grupo/README.md; MATRIZ-30.md; evidencias/comparacao-2.json; execucoes.json</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CT10 conforme no banco/núcleo/tela isolados; outros29 estados da Etapa9 preservados. Não há homologação financeira global, conciliação real ou aceite nominal. | Etapa11: ponte documental por registro pronta para revisão; causa econômica do residual149.589,33 não comprovada. Nenhum estado dos30 casos ou aceite alterado. CT10 daEtapa10 preservado. | Etapa12: Etapa12: CT02/03/18 conformes no recorte isolado; CT29 corrente conforme, referência original parcial.13 parciais permanecem, incluindo CT29. Nenhum aceite financeiro ou homologação global. | Etapa13: Dois recortes numéricos conformes, ambos continuam parciais. Quadro individual:13 parciais,7 conformes por teste independente anterior,10 apenas por evidência técnica herdada; zero aceite formal.</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Bloqueada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inlineStr">
        <is>
          <t>etapa10-ct10/README.md; evidencias/comparacao-ct10.json; evidencias/execucoes.json | etapa11-reconciliacao/README.md; evidencias/reconciliacao.json; evidencias/Reconciliacao_F011_F007.xlsx | etapa12-parciais/README.md; MATRIZ-16.md; evidencias/comparacao-4.json; execucoes.json | etapa13-segundo-grupo/README.md; MATRIZ-30.md; evidencias/comparacao-2.json; execucoes.json</t>
        </is>
      </c>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inlineStr">
        <is>
          <t>Nenhuma implantação autorizada. CT10 tecnicamente corrigido não resolve os16 parciais, fontes/cortes reais, parâmetros e aceites anteriores. | Etapa11 diagnóstica encerrada com fonte bruta/fórmula/eventos históricos pendentes. Produção inalterada. Não libera implantação nem homologação global. | Etapa12: Bloqueada: sem deploy/produção. Quatro recortes isolados aptos à revisão, não à liberação financeira real. Pendências anteriores preservadas. | Etapa13: Sem deploy ou alteração de produção. Não há homologação financeira global; demais pendências preservadas.</t>
        </is>
      </c>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etapa8-fluxo/evidencias/comparacao-integrais.json; banco.json; anteriores/liquidacoes.json; anteriores/integracao/integracao.json — isolamento, sem aceite financeiro</t>
        </is>
      </c>
      <c r="K10" s="23" t="inlineStr">
        <is>
          <t>Codex — execução automatizada isolada</t>
        </is>
      </c>
      <c r="L10" s="31" t="n">
        <v>46317.43093657408</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etapa8-fluxo/evidencias/comparacao-integrais.json; banco.json; anteriores/liquidacoes.json; anteriores/integracao/integracao.json — isolamento, sem aceite financeiro</t>
        </is>
      </c>
      <c r="K11" s="12" t="inlineStr">
        <is>
          <t>Codex — execução automatizada isolada</t>
        </is>
      </c>
      <c r="L11" s="28" t="n">
        <v>46317.43093657408</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etapa8-fluxo/evidencias/comparacao-integrais.json; banco.json; anteriores/liquidacoes.json; anteriores/integracao/integracao.json — isolamento, sem aceite financeiro</t>
        </is>
      </c>
      <c r="K12" s="12" t="inlineStr">
        <is>
          <t>Codex — execução automatizada isolada</t>
        </is>
      </c>
      <c r="L12" s="28" t="n">
        <v>46317.43093657408</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etapa8-fluxo/evidencias/comparacao-integrais.json; banco.json; anteriores/liquidacoes.json; anteriores/integracao/integracao.json — isolamento, sem aceite financeiro</t>
        </is>
      </c>
      <c r="K13" s="12" t="inlineStr">
        <is>
          <t>Codex — execução automatizada isolada</t>
        </is>
      </c>
      <c r="L13" s="28" t="n">
        <v>46317.43093657408</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etapa8-fluxo/evidencias/comparacao-integrais.json; banco.json; anteriores/liquidacoes.json; anteriores/integracao/integracao.json — isolamento, sem aceite financeiro</t>
        </is>
      </c>
      <c r="K14" s="12" t="inlineStr">
        <is>
          <t>Codex — execução automatizada isolada</t>
        </is>
      </c>
      <c r="L14" s="28" t="n">
        <v>46317.43093657408</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v>1</v>
      </c>
      <c r="H15" s="29">
        <f>IF(AND(ISNUMBER(F15),ISNUMBER(G15)),G15-F15,"")</f>
        <v/>
      </c>
      <c r="I15" s="20">
        <f>IF(COUNTBLANK(G15)=1,"Não executado",IF(ISNUMBER(F15)&lt;&gt;ISNUMBER(G15),"Tipo incompatível",IF(IF(E15="&lt;&gt;",G15&lt;&gt;F15,G15=F15),IF(OR(J15="",K15="",NOT(ISNUMBER(L15)),L15&lt;=0),"Evidência pendente","Compatível"),"Divergente")))</f>
        <v/>
      </c>
      <c r="J15" s="23" t="inlineStr">
        <is>
          <t>etapa12-parciais/evidencias/comparacao-4.json; banco.json; registros.json; servidor-tela-acoes.log — fictício, sem aceite financeiro</t>
        </is>
      </c>
      <c r="K15" s="23" t="inlineStr">
        <is>
          <t>Codex — execução automatizada isolada; não responsável financeiro</t>
        </is>
      </c>
      <c r="L15" s="31" t="n">
        <v>46317.64012649305</v>
      </c>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v>1000000</v>
      </c>
      <c r="H16" s="32">
        <f>IF(AND(ISNUMBER(F16),ISNUMBER(G16)),G16-F16,"")</f>
        <v/>
      </c>
      <c r="I16" s="16">
        <f>IF(COUNTBLANK(G16)=1,"Não executado",IF(ISNUMBER(F16)&lt;&gt;ISNUMBER(G16),"Tipo incompatível",IF(IF(E16="&lt;&gt;",G16&lt;&gt;F16,G16=F16),IF(OR(J16="",K16="",NOT(ISNUMBER(L16)),L16&lt;=0),"Evidência pendente","Compatível"),"Divergente")))</f>
        <v/>
      </c>
      <c r="J16" s="12" t="inlineStr">
        <is>
          <t>etapa12-parciais/evidencias/comparacao-4.json; banco.json; registros.json; servidor-tela-acoes.log — fictício, sem aceite financeiro</t>
        </is>
      </c>
      <c r="K16" s="12" t="inlineStr">
        <is>
          <t>Codex — execução automatizada isolada; não responsável financeiro</t>
        </is>
      </c>
      <c r="L16" s="28" t="n">
        <v>46317.64012649305</v>
      </c>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v>1200000</v>
      </c>
      <c r="H17" s="32">
        <f>IF(AND(ISNUMBER(F17),ISNUMBER(G17)),G17-F17,"")</f>
        <v/>
      </c>
      <c r="I17" s="16">
        <f>IF(COUNTBLANK(G17)=1,"Não executado",IF(ISNUMBER(F17)&lt;&gt;ISNUMBER(G17),"Tipo incompatível",IF(IF(E17="&lt;&gt;",G17&lt;&gt;F17,G17=F17),IF(OR(J17="",K17="",NOT(ISNUMBER(L17)),L17&lt;=0),"Evidência pendente","Compatível"),"Divergente")))</f>
        <v/>
      </c>
      <c r="J17" s="12" t="inlineStr">
        <is>
          <t>etapa12-parciais/evidencias/comparacao-4.json; banco.json; registros.json; servidor-tela-acoes.log — fictício, sem aceite financeiro</t>
        </is>
      </c>
      <c r="K17" s="12" t="inlineStr">
        <is>
          <t>Codex — execução automatizada isolada; não responsável financeiro</t>
        </is>
      </c>
      <c r="L17" s="28" t="n">
        <v>46317.64012649305</v>
      </c>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v>200000</v>
      </c>
      <c r="H18" s="32">
        <f>IF(AND(ISNUMBER(F18),ISNUMBER(G18)),G18-F18,"")</f>
        <v/>
      </c>
      <c r="I18" s="16">
        <f>IF(COUNTBLANK(G18)=1,"Não executado",IF(ISNUMBER(F18)&lt;&gt;ISNUMBER(G18),"Tipo incompatível",IF(IF(E18="&lt;&gt;",G18&lt;&gt;F18,G18=F18),IF(OR(J18="",K18="",NOT(ISNUMBER(L18)),L18&lt;=0),"Evidência pendente","Compatível"),"Divergente")))</f>
        <v/>
      </c>
      <c r="J18" s="12" t="inlineStr">
        <is>
          <t>etapa12-parciais/evidencias/comparacao-4.json; banco.json; registros.json; servidor-tela-acoes.log — fictício, sem aceite financeiro</t>
        </is>
      </c>
      <c r="K18" s="12" t="inlineStr">
        <is>
          <t>Codex — execução automatizada isolada; não responsável financeiro</t>
        </is>
      </c>
      <c r="L18" s="28" t="n">
        <v>46317.64012649305</v>
      </c>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v>1000000</v>
      </c>
      <c r="H19" s="32">
        <f>IF(AND(ISNUMBER(F19),ISNUMBER(G19)),G19-F19,"")</f>
        <v/>
      </c>
      <c r="I19" s="16">
        <f>IF(COUNTBLANK(G19)=1,"Não executado",IF(ISNUMBER(F19)&lt;&gt;ISNUMBER(G19),"Tipo incompatível",IF(IF(E19="&lt;&gt;",G19&lt;&gt;F19,G19=F19),IF(OR(J19="",K19="",NOT(ISNUMBER(L19)),L19&lt;=0),"Evidência pendente","Compatível"),"Divergente")))</f>
        <v/>
      </c>
      <c r="J19" s="12" t="inlineStr">
        <is>
          <t>etapa12-parciais/evidencias/comparacao-4.json; banco.json; registros.json; servidor-tela-acoes.log — fictício, sem aceite financeiro</t>
        </is>
      </c>
      <c r="K19" s="12" t="inlineStr">
        <is>
          <t>Codex — execução automatizada isolada; não responsável financeiro</t>
        </is>
      </c>
      <c r="L19" s="28" t="n">
        <v>46317.64012649305</v>
      </c>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v>700000</v>
      </c>
      <c r="H20" s="29">
        <f>IF(AND(ISNUMBER(F20),ISNUMBER(G20)),G20-F20,"")</f>
        <v/>
      </c>
      <c r="I20" s="20">
        <f>IF(COUNTBLANK(G20)=1,"Não executado",IF(ISNUMBER(F20)&lt;&gt;ISNUMBER(G20),"Tipo incompatível",IF(IF(E20="&lt;&gt;",G20&lt;&gt;F20,G20=F20),IF(OR(J20="",K20="",NOT(ISNUMBER(L20)),L20&lt;=0),"Evidência pendente","Compatível"),"Divergente")))</f>
        <v/>
      </c>
      <c r="J20" s="23" t="inlineStr">
        <is>
          <t>etapa12-parciais/evidencias/comparacao-4.json; banco.json; registros.json; servidor-tela-acoes.log — fictício, sem aceite financeiro</t>
        </is>
      </c>
      <c r="K20" s="23" t="inlineStr">
        <is>
          <t>Codex — execução automatizada isolada; não responsável financeiro</t>
        </is>
      </c>
      <c r="L20" s="31" t="n">
        <v>46317.64012649305</v>
      </c>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v>500000</v>
      </c>
      <c r="H21" s="32">
        <f>IF(AND(ISNUMBER(F21),ISNUMBER(G21)),G21-F21,"")</f>
        <v/>
      </c>
      <c r="I21" s="16">
        <f>IF(COUNTBLANK(G21)=1,"Não executado",IF(ISNUMBER(F21)&lt;&gt;ISNUMBER(G21),"Tipo incompatível",IF(IF(E21="&lt;&gt;",G21&lt;&gt;F21,G21=F21),IF(OR(J21="",K21="",NOT(ISNUMBER(L21)),L21&lt;=0),"Evidência pendente","Compatível"),"Divergente")))</f>
        <v/>
      </c>
      <c r="J21" s="12" t="inlineStr">
        <is>
          <t>etapa12-parciais/evidencias/comparacao-4.json; banco.json; registros.json; servidor-tela-acoes.log — fictício, sem aceite financeiro</t>
        </is>
      </c>
      <c r="K21" s="12" t="inlineStr">
        <is>
          <t>Codex — execução automatizada isolada; não responsável financeiro</t>
        </is>
      </c>
      <c r="L21" s="28" t="n">
        <v>46317.64012649305</v>
      </c>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v>500000</v>
      </c>
      <c r="H22" s="32">
        <f>IF(AND(ISNUMBER(F22),ISNUMBER(G22)),G22-F22,"")</f>
        <v/>
      </c>
      <c r="I22" s="16">
        <f>IF(COUNTBLANK(G22)=1,"Não executado",IF(ISNUMBER(F22)&lt;&gt;ISNUMBER(G22),"Tipo incompatível",IF(IF(E22="&lt;&gt;",G22&lt;&gt;F22,G22=F22),IF(OR(J22="",K22="",NOT(ISNUMBER(L22)),L22&lt;=0),"Evidência pendente","Compatível"),"Divergente")))</f>
        <v/>
      </c>
      <c r="J22" s="12" t="inlineStr">
        <is>
          <t>etapa12-parciais/evidencias/comparacao-4.json; banco.json; registros.json; servidor-tela-acoes.log — fictício, sem aceite financeiro</t>
        </is>
      </c>
      <c r="K22" s="12" t="inlineStr">
        <is>
          <t>Codex — execução automatizada isolada; não responsável financeiro</t>
        </is>
      </c>
      <c r="L22" s="28" t="n">
        <v>46317.64012649305</v>
      </c>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v>2</v>
      </c>
      <c r="H23" s="32">
        <f>IF(AND(ISNUMBER(F23),ISNUMBER(G23)),G23-F23,"")</f>
        <v/>
      </c>
      <c r="I23" s="16">
        <f>IF(COUNTBLANK(G23)=1,"Não executado",IF(ISNUMBER(F23)&lt;&gt;ISNUMBER(G23),"Tipo incompatível",IF(IF(E23="&lt;&gt;",G23&lt;&gt;F23,G23=F23),IF(OR(J23="",K23="",NOT(ISNUMBER(L23)),L23&lt;=0),"Evidência pendente","Compatível"),"Divergente")))</f>
        <v/>
      </c>
      <c r="J23" s="12" t="inlineStr">
        <is>
          <t>etapa12-parciais/evidencias/comparacao-4.json; banco.json; registros.json; servidor-tela-acoes.log — fictício, sem aceite financeiro</t>
        </is>
      </c>
      <c r="K23" s="12" t="inlineStr">
        <is>
          <t>Codex — execução automatizada isolada; não responsável financeiro</t>
        </is>
      </c>
      <c r="L23" s="28" t="n">
        <v>46317.64012649305</v>
      </c>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v>2</v>
      </c>
      <c r="H24" s="32">
        <f>IF(AND(ISNUMBER(F24),ISNUMBER(G24)),G24-F24,"")</f>
        <v/>
      </c>
      <c r="I24" s="16">
        <f>IF(COUNTBLANK(G24)=1,"Não executado",IF(ISNUMBER(F24)&lt;&gt;ISNUMBER(G24),"Tipo incompatível",IF(IF(E24="&lt;&gt;",G24&lt;&gt;F24,G24=F24),IF(OR(J24="",K24="",NOT(ISNUMBER(L24)),L24&lt;=0),"Evidência pendente","Compatível"),"Divergente")))</f>
        <v/>
      </c>
      <c r="J24" s="12" t="inlineStr">
        <is>
          <t>etapa12-parciais/evidencias/comparacao-4.json; banco.json; registros.json; servidor-tela-acoes.log — fictício, sem aceite financeiro</t>
        </is>
      </c>
      <c r="K24" s="12" t="inlineStr">
        <is>
          <t>Codex — execução automatizada isolada; não responsável financeiro</t>
        </is>
      </c>
      <c r="L24" s="28" t="n">
        <v>46317.64012649305</v>
      </c>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v>0</v>
      </c>
      <c r="H25" s="32">
        <f>IF(AND(ISNUMBER(F25),ISNUMBER(G25)),G25-F25,"")</f>
        <v/>
      </c>
      <c r="I25" s="16">
        <f>IF(COUNTBLANK(G25)=1,"Não executado",IF(ISNUMBER(F25)&lt;&gt;ISNUMBER(G25),"Tipo incompatível",IF(IF(E25="&lt;&gt;",G25&lt;&gt;F25,G25=F25),IF(OR(J25="",K25="",NOT(ISNUMBER(L25)),L25&lt;=0),"Evidência pendente","Compatível"),"Divergente")))</f>
        <v/>
      </c>
      <c r="J25" s="12" t="inlineStr">
        <is>
          <t>etapa12-parciais/evidencias/comparacao-4.json; banco.json; registros.json; servidor-tela-acoes.log — fictício, sem aceite financeiro</t>
        </is>
      </c>
      <c r="K25" s="12" t="inlineStr">
        <is>
          <t>Codex — execução automatizada isolada; não responsável financeiro</t>
        </is>
      </c>
      <c r="L25" s="28" t="n">
        <v>46317.64012649305</v>
      </c>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v>0</v>
      </c>
      <c r="H26" s="32">
        <f>IF(AND(ISNUMBER(F26),ISNUMBER(G26)),G26-F26,"")</f>
        <v/>
      </c>
      <c r="I26" s="16">
        <f>IF(COUNTBLANK(G26)=1,"Não executado",IF(ISNUMBER(F26)&lt;&gt;ISNUMBER(G26),"Tipo incompatível",IF(IF(E26="&lt;&gt;",G26&lt;&gt;F26,G26=F26),IF(OR(J26="",K26="",NOT(ISNUMBER(L26)),L26&lt;=0),"Evidência pendente","Compatível"),"Divergente")))</f>
        <v/>
      </c>
      <c r="J26" s="12" t="inlineStr">
        <is>
          <t>etapa12-parciais/evidencias/comparacao-4.json; banco.json; registros.json; servidor-tela-acoes.log — fictício, sem aceite financeiro</t>
        </is>
      </c>
      <c r="K26" s="12" t="inlineStr">
        <is>
          <t>Codex — execução automatizada isolada; não responsável financeiro</t>
        </is>
      </c>
      <c r="L26" s="28" t="n">
        <v>46317.64012649305</v>
      </c>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etapa8-fluxo/evidencias/comparacao-integrais.json; banco.json; anteriores/liquidacoes.json; anteriores/integracao/integracao.json — isolamento, sem aceite financeiro</t>
        </is>
      </c>
      <c r="K88" s="23" t="inlineStr">
        <is>
          <t>Codex — execução automatizada isolada</t>
        </is>
      </c>
      <c r="L88" s="31" t="n">
        <v>46317.43093657408</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etapa8-fluxo/evidencias/comparacao-integrais.json; banco.json; anteriores/liquidacoes.json; anteriores/integracao/integracao.json — isolamento, sem aceite financeiro</t>
        </is>
      </c>
      <c r="K89" s="12" t="inlineStr">
        <is>
          <t>Codex — execução automatizada isolada</t>
        </is>
      </c>
      <c r="L89" s="28" t="n">
        <v>46317.43093657408</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etapa8-fluxo/evidencias/comparacao-integrais.json; banco.json; anteriores/liquidacoes.json; anteriores/integracao/integracao.json — isolamento, sem aceite financeiro</t>
        </is>
      </c>
      <c r="K90" s="12" t="inlineStr">
        <is>
          <t>Codex — execução automatizada isolada</t>
        </is>
      </c>
      <c r="L90" s="28" t="n">
        <v>46317.43093657408</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etapa8-fluxo/evidencias/comparacao-integrais.json; banco.json; anteriores/liquidacoes.json; anteriores/integracao/integracao.json — isolamento, sem aceite financeiro</t>
        </is>
      </c>
      <c r="K91" s="12" t="inlineStr">
        <is>
          <t>Codex — execução automatizada isolada</t>
        </is>
      </c>
      <c r="L91" s="28" t="n">
        <v>46317.43093657408</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etapa8-fluxo/evidencias/comparacao-integrais.json; banco.json; anteriores/liquidacoes.json; anteriores/integracao/integracao.json — isolamento, sem aceite financeiro</t>
        </is>
      </c>
      <c r="K92" s="12" t="inlineStr">
        <is>
          <t>Codex — execução automatizada isolada</t>
        </is>
      </c>
      <c r="L92" s="28" t="n">
        <v>46317.43093657408</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etapa8-fluxo/evidencias/comparacao-integrais.json; banco.json; anteriores/liquidacoes.json; anteriores/integracao/integracao.json — isolamento, sem aceite financeiro</t>
        </is>
      </c>
      <c r="K93" s="12" t="inlineStr">
        <is>
          <t>Codex — execução automatizada isolada</t>
        </is>
      </c>
      <c r="L93" s="28" t="n">
        <v>46317.43093657408</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etapa8-fluxo/evidencias/comparacao-integrais.json; banco.json; anteriores/liquidacoes.json; anteriores/integracao/integracao.json — isolamento, sem aceite financeiro</t>
        </is>
      </c>
      <c r="K94" s="12" t="inlineStr">
        <is>
          <t>Codex — execução automatizada isolada</t>
        </is>
      </c>
      <c r="L94" s="28" t="n">
        <v>46317.43093657408</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etapa8-fluxo/evidencias/comparacao-integrais.json; banco.json; anteriores/liquidacoes.json; anteriores/integracao/integracao.json — isolamento, sem aceite financeiro</t>
        </is>
      </c>
      <c r="K95" s="12" t="inlineStr">
        <is>
          <t>Codex — execução automatizada isolada</t>
        </is>
      </c>
      <c r="L95" s="28" t="n">
        <v>46317.43093657408</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etapa8-fluxo/evidencias/comparacao-integrais.json; banco.json; anteriores/liquidacoes.json; anteriores/integracao/integracao.json — isolamento, sem aceite financeiro</t>
        </is>
      </c>
      <c r="K96" s="23" t="inlineStr">
        <is>
          <t>Codex — execução automatizada isolada</t>
        </is>
      </c>
      <c r="L96" s="31" t="n">
        <v>46317.43093657408</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etapa8-fluxo/evidencias/comparacao-integrais.json; banco.json; anteriores/liquidacoes.json; anteriores/integracao/integracao.json — isolamento, sem aceite financeiro</t>
        </is>
      </c>
      <c r="K97" s="12" t="inlineStr">
        <is>
          <t>Codex — execução automatizada isolada</t>
        </is>
      </c>
      <c r="L97" s="28" t="n">
        <v>46317.43093657408</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etapa8-fluxo/evidencias/comparacao-integrais.json; banco.json; anteriores/liquidacoes.json; anteriores/integracao/integracao.json — isolamento, sem aceite financeiro</t>
        </is>
      </c>
      <c r="K98" s="12" t="inlineStr">
        <is>
          <t>Codex — execução automatizada isolada</t>
        </is>
      </c>
      <c r="L98" s="28" t="n">
        <v>46317.43093657408</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etapa8-fluxo/evidencias/comparacao-integrais.json; banco.json; anteriores/liquidacoes.json; anteriores/integracao/integracao.json — isolamento, sem aceite financeiro</t>
        </is>
      </c>
      <c r="K99" s="12" t="inlineStr">
        <is>
          <t>Codex — execução automatizada isolada</t>
        </is>
      </c>
      <c r="L99" s="28" t="n">
        <v>46317.43093657408</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etapa8-fluxo/evidencias/comparacao-integrais.json; banco.json; anteriores/liquidacoes.json; anteriores/integracao/integracao.json — isolamento, sem aceite financeiro</t>
        </is>
      </c>
      <c r="K100" s="12" t="inlineStr">
        <is>
          <t>Codex — execução automatizada isolada</t>
        </is>
      </c>
      <c r="L100" s="28" t="n">
        <v>46317.43093657408</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etapa8-fluxo/evidencias/comparacao-integrais.json; banco.json; anteriores/liquidacoes.json; anteriores/integracao/integracao.json — isolamento, sem aceite financeiro</t>
        </is>
      </c>
      <c r="K101" s="12" t="inlineStr">
        <is>
          <t>Codex — execução automatizada isolada</t>
        </is>
      </c>
      <c r="L101" s="28" t="n">
        <v>46317.43093657408</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etapa8-fluxo/evidencias/comparacao-integrais.json; banco.json; anteriores/liquidacoes.json; anteriores/integracao/integracao.json — isolamento, sem aceite financeiro</t>
        </is>
      </c>
      <c r="K102" s="12" t="inlineStr">
        <is>
          <t>Codex — execução automatizada isolada</t>
        </is>
      </c>
      <c r="L102" s="28" t="n">
        <v>46317.43093657408</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etapa8-fluxo/evidencias/comparacao-integrais.json; banco.json; anteriores/liquidacoes.json; anteriores/integracao/integracao.json — isolamento, sem aceite financeiro</t>
        </is>
      </c>
      <c r="K103" s="12" t="inlineStr">
        <is>
          <t>Codex — execução automatizada isolada</t>
        </is>
      </c>
      <c r="L103" s="28" t="n">
        <v>46317.43093657408</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etapa8-fluxo/evidencias/comparacao-integrais.json; banco.json; anteriores/liquidacoes.json; anteriores/integracao/integracao.json — isolamento, sem aceite financeiro</t>
        </is>
      </c>
      <c r="K104" s="12" t="inlineStr">
        <is>
          <t>Codex — execução automatizada isolada</t>
        </is>
      </c>
      <c r="L104" s="28" t="n">
        <v>46317.43093657408</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etapa8-fluxo/evidencias/comparacao-integrais.json; banco.json; anteriores/liquidacoes.json; anteriores/integracao/integracao.json — isolamento, sem aceite financeiro</t>
        </is>
      </c>
      <c r="K105" s="12" t="inlineStr">
        <is>
          <t>Codex — execução automatizada isolada</t>
        </is>
      </c>
      <c r="L105" s="28" t="n">
        <v>46317.43093657408</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etapa8-fluxo/evidencias/comparacao-integrais.json; banco.json; anteriores/liquidacoes.json; anteriores/integracao/integracao.json — isolamento, sem aceite financeiro</t>
        </is>
      </c>
      <c r="K106" s="12" t="inlineStr">
        <is>
          <t>Codex — execução automatizada isolada</t>
        </is>
      </c>
      <c r="L106" s="28" t="n">
        <v>46317.43093657408</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etapa8-fluxo/evidencias/comparacao-integrais.json; banco.json; anteriores/liquidacoes.json; anteriores/integracao/integracao.json — isolamento, sem aceite financeiro</t>
        </is>
      </c>
      <c r="K107" s="12" t="inlineStr">
        <is>
          <t>Codex — execução automatizada isolada</t>
        </is>
      </c>
      <c r="L107" s="28" t="n">
        <v>46317.43093657408</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etapa8-fluxo/evidencias/comparacao-integrais.json; banco.json; anteriores/liquidacoes.json; anteriores/integracao/integracao.json — isolamento, sem aceite financeiro</t>
        </is>
      </c>
      <c r="K108" s="12" t="inlineStr">
        <is>
          <t>Codex — execução automatizada isolada</t>
        </is>
      </c>
      <c r="L108" s="28" t="n">
        <v>46317.43093657408</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etapa8-fluxo/evidencias/comparacao-integrais.json; banco.json; anteriores/liquidacoes.json; anteriores/integracao/integracao.json — isolamento, sem aceite financeiro</t>
        </is>
      </c>
      <c r="K109" s="12" t="inlineStr">
        <is>
          <t>Codex — execução automatizada isolada</t>
        </is>
      </c>
      <c r="L109" s="28" t="n">
        <v>46317.43093657408</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v>0</v>
      </c>
      <c r="H118" s="29">
        <f>IF(AND(ISNUMBER(F118),ISNUMBER(G118)),G118-F118,"")</f>
        <v/>
      </c>
      <c r="I118" s="20">
        <f>IF(COUNTBLANK(G118)=1,"Não executado",IF(ISNUMBER(F118)&lt;&gt;ISNUMBER(G118),"Tipo incompatível",IF(IF(E118="&lt;&gt;",G118&lt;&gt;F118,G118=F118),IF(OR(J118="",K118="",NOT(ISNUMBER(L118)),L118&lt;=0),"Evidência pendente","Compatível"),"Divergente")))</f>
        <v/>
      </c>
      <c r="J118" s="23" t="inlineStr">
        <is>
          <t>etapa10-ct10/evidencias/comparacao-ct10.json; banco.json; registros-ct10.json — massa fictícia; sem aceite financeiro</t>
        </is>
      </c>
      <c r="K118" s="23" t="inlineStr">
        <is>
          <t>Codex — execução automatizada isolada, não responsável financeiro</t>
        </is>
      </c>
      <c r="L118" s="31" t="n">
        <v>46317.48563835648</v>
      </c>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v>0</v>
      </c>
      <c r="H119" s="32">
        <f>IF(AND(ISNUMBER(F119),ISNUMBER(G119)),G119-F119,"")</f>
        <v/>
      </c>
      <c r="I119" s="16">
        <f>IF(COUNTBLANK(G119)=1,"Não executado",IF(ISNUMBER(F119)&lt;&gt;ISNUMBER(G119),"Tipo incompatível",IF(IF(E119="&lt;&gt;",G119&lt;&gt;F119,G119=F119),IF(OR(J119="",K119="",NOT(ISNUMBER(L119)),L119&lt;=0),"Evidência pendente","Compatível"),"Divergente")))</f>
        <v/>
      </c>
      <c r="J119" s="12" t="inlineStr">
        <is>
          <t>etapa10-ct10/evidencias/comparacao-ct10.json; banco.json; registros-ct10.json — massa fictícia; sem aceite financeiro</t>
        </is>
      </c>
      <c r="K119" s="12" t="inlineStr">
        <is>
          <t>Codex — execução automatizada isolada, não responsável financeiro</t>
        </is>
      </c>
      <c r="L119" s="28" t="n">
        <v>46317.48563835648</v>
      </c>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v>0</v>
      </c>
      <c r="H120" s="32">
        <f>IF(AND(ISNUMBER(F120),ISNUMBER(G120)),G120-F120,"")</f>
        <v/>
      </c>
      <c r="I120" s="16">
        <f>IF(COUNTBLANK(G120)=1,"Não executado",IF(ISNUMBER(F120)&lt;&gt;ISNUMBER(G120),"Tipo incompatível",IF(IF(E120="&lt;&gt;",G120&lt;&gt;F120,G120=F120),IF(OR(J120="",K120="",NOT(ISNUMBER(L120)),L120&lt;=0),"Evidência pendente","Compatível"),"Divergente")))</f>
        <v/>
      </c>
      <c r="J120" s="12" t="inlineStr">
        <is>
          <t>etapa10-ct10/evidencias/comparacao-ct10.json; banco.json; registros-ct10.json — massa fictícia; sem aceite financeiro</t>
        </is>
      </c>
      <c r="K120" s="12" t="inlineStr">
        <is>
          <t>Codex — execução automatizada isolada, não responsável financeiro</t>
        </is>
      </c>
      <c r="L120" s="28" t="n">
        <v>46317.48563835648</v>
      </c>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v>0</v>
      </c>
      <c r="H121" s="32">
        <f>IF(AND(ISNUMBER(F121),ISNUMBER(G121)),G121-F121,"")</f>
        <v/>
      </c>
      <c r="I121" s="16">
        <f>IF(COUNTBLANK(G121)=1,"Não executado",IF(ISNUMBER(F121)&lt;&gt;ISNUMBER(G121),"Tipo incompatível",IF(IF(E121="&lt;&gt;",G121&lt;&gt;F121,G121=F121),IF(OR(J121="",K121="",NOT(ISNUMBER(L121)),L121&lt;=0),"Evidência pendente","Compatível"),"Divergente")))</f>
        <v/>
      </c>
      <c r="J121" s="12" t="inlineStr">
        <is>
          <t>etapa10-ct10/evidencias/comparacao-ct10.json; banco.json; registros-ct10.json — massa fictícia; sem aceite financeiro</t>
        </is>
      </c>
      <c r="K121" s="12" t="inlineStr">
        <is>
          <t>Codex — execução automatizada isolada, não responsável financeiro</t>
        </is>
      </c>
      <c r="L121" s="28" t="n">
        <v>46317.48563835648</v>
      </c>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v>0</v>
      </c>
      <c r="H122" s="32">
        <f>IF(AND(ISNUMBER(F122),ISNUMBER(G122)),G122-F122,"")</f>
        <v/>
      </c>
      <c r="I122" s="16">
        <f>IF(COUNTBLANK(G122)=1,"Não executado",IF(ISNUMBER(F122)&lt;&gt;ISNUMBER(G122),"Tipo incompatível",IF(IF(E122="&lt;&gt;",G122&lt;&gt;F122,G122=F122),IF(OR(J122="",K122="",NOT(ISNUMBER(L122)),L122&lt;=0),"Evidência pendente","Compatível"),"Divergente")))</f>
        <v/>
      </c>
      <c r="J122" s="12" t="inlineStr">
        <is>
          <t>etapa10-ct10/evidencias/comparacao-ct10.json; banco.json; registros-ct10.json — massa fictícia; sem aceite financeiro</t>
        </is>
      </c>
      <c r="K122" s="12" t="inlineStr">
        <is>
          <t>Codex — execução automatizada isolada, não responsável financeiro</t>
        </is>
      </c>
      <c r="L122" s="28" t="n">
        <v>46317.48563835648</v>
      </c>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v>1000000</v>
      </c>
      <c r="H123" s="32">
        <f>IF(AND(ISNUMBER(F123),ISNUMBER(G123)),G123-F123,"")</f>
        <v/>
      </c>
      <c r="I123" s="16">
        <f>IF(COUNTBLANK(G123)=1,"Não executado",IF(ISNUMBER(F123)&lt;&gt;ISNUMBER(G123),"Tipo incompatível",IF(IF(E123="&lt;&gt;",G123&lt;&gt;F123,G123=F123),IF(OR(J123="",K123="",NOT(ISNUMBER(L123)),L123&lt;=0),"Evidência pendente","Compatível"),"Divergente")))</f>
        <v/>
      </c>
      <c r="J123" s="12" t="inlineStr">
        <is>
          <t>etapa10-ct10/evidencias/comparacao-ct10.json; banco.json; registros-ct10.json — massa fictícia; sem aceite financeiro</t>
        </is>
      </c>
      <c r="K123" s="12" t="inlineStr">
        <is>
          <t>Codex — execução automatizada isolada, não responsável financeiro</t>
        </is>
      </c>
      <c r="L123" s="28" t="n">
        <v>46317.48563835648</v>
      </c>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v>400000</v>
      </c>
      <c r="H124" s="32">
        <f>IF(AND(ISNUMBER(F124),ISNUMBER(G124)),G124-F124,"")</f>
        <v/>
      </c>
      <c r="I124" s="16">
        <f>IF(COUNTBLANK(G124)=1,"Não executado",IF(ISNUMBER(F124)&lt;&gt;ISNUMBER(G124),"Tipo incompatível",IF(IF(E124="&lt;&gt;",G124&lt;&gt;F124,G124=F124),IF(OR(J124="",K124="",NOT(ISNUMBER(L124)),L124&lt;=0),"Evidência pendente","Compatível"),"Divergente")))</f>
        <v/>
      </c>
      <c r="J124" s="12" t="inlineStr">
        <is>
          <t>etapa10-ct10/evidencias/comparacao-ct10.json; banco.json; registros-ct10.json — massa fictícia; sem aceite financeiro</t>
        </is>
      </c>
      <c r="K124" s="12" t="inlineStr">
        <is>
          <t>Codex — execução automatizada isolada, não responsável financeiro</t>
        </is>
      </c>
      <c r="L124" s="28" t="n">
        <v>46317.48563835648</v>
      </c>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v>1000000</v>
      </c>
      <c r="H125" s="32">
        <f>IF(AND(ISNUMBER(F125),ISNUMBER(G125)),G125-F125,"")</f>
        <v/>
      </c>
      <c r="I125" s="16">
        <f>IF(COUNTBLANK(G125)=1,"Não executado",IF(ISNUMBER(F125)&lt;&gt;ISNUMBER(G125),"Tipo incompatível",IF(IF(E125="&lt;&gt;",G125&lt;&gt;F125,G125=F125),IF(OR(J125="",K125="",NOT(ISNUMBER(L125)),L125&lt;=0),"Evidência pendente","Compatível"),"Divergente")))</f>
        <v/>
      </c>
      <c r="J125" s="12" t="inlineStr">
        <is>
          <t>etapa10-ct10/evidencias/comparacao-ct10.json; banco.json; registros-ct10.json — massa fictícia; sem aceite financeiro</t>
        </is>
      </c>
      <c r="K125" s="12" t="inlineStr">
        <is>
          <t>Codex — execução automatizada isolada, não responsável financeiro</t>
        </is>
      </c>
      <c r="L125" s="28" t="n">
        <v>46317.48563835648</v>
      </c>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v>600000</v>
      </c>
      <c r="H126" s="32">
        <f>IF(AND(ISNUMBER(F126),ISNUMBER(G126)),G126-F126,"")</f>
        <v/>
      </c>
      <c r="I126" s="16">
        <f>IF(COUNTBLANK(G126)=1,"Não executado",IF(ISNUMBER(F126)&lt;&gt;ISNUMBER(G126),"Tipo incompatível",IF(IF(E126="&lt;&gt;",G126&lt;&gt;F126,G126=F126),IF(OR(J126="",K126="",NOT(ISNUMBER(L126)),L126&lt;=0),"Evidência pendente","Compatível"),"Divergente")))</f>
        <v/>
      </c>
      <c r="J126" s="12" t="inlineStr">
        <is>
          <t>etapa10-ct10/evidencias/comparacao-ct10.json; banco.json; registros-ct10.json — massa fictícia; sem aceite financeiro</t>
        </is>
      </c>
      <c r="K126" s="12" t="inlineStr">
        <is>
          <t>Codex — execução automatizada isolada, não responsável financeiro</t>
        </is>
      </c>
      <c r="L126" s="28" t="n">
        <v>46317.48563835648</v>
      </c>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v>400000</v>
      </c>
      <c r="H127" s="32">
        <f>IF(AND(ISNUMBER(F127),ISNUMBER(G127)),G127-F127,"")</f>
        <v/>
      </c>
      <c r="I127" s="16">
        <f>IF(COUNTBLANK(G127)=1,"Não executado",IF(ISNUMBER(F127)&lt;&gt;ISNUMBER(G127),"Tipo incompatível",IF(IF(E127="&lt;&gt;",G127&lt;&gt;F127,G127=F127),IF(OR(J127="",K127="",NOT(ISNUMBER(L127)),L127&lt;=0),"Evidência pendente","Compatível"),"Divergente")))</f>
        <v/>
      </c>
      <c r="J127" s="12" t="inlineStr">
        <is>
          <t>etapa10-ct10/evidencias/comparacao-ct10.json; banco.json; registros-ct10.json — massa fictícia; sem aceite financeiro</t>
        </is>
      </c>
      <c r="K127" s="12" t="inlineStr">
        <is>
          <t>Codex — execução automatizada isolada, não responsável financeiro</t>
        </is>
      </c>
      <c r="L127" s="28" t="n">
        <v>46317.48563835648</v>
      </c>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v>0</v>
      </c>
      <c r="H128" s="32">
        <f>IF(AND(ISNUMBER(F128),ISNUMBER(G128)),G128-F128,"")</f>
        <v/>
      </c>
      <c r="I128" s="16">
        <f>IF(COUNTBLANK(G128)=1,"Não executado",IF(ISNUMBER(F128)&lt;&gt;ISNUMBER(G128),"Tipo incompatível",IF(IF(E128="&lt;&gt;",G128&lt;&gt;F128,G128=F128),IF(OR(J128="",K128="",NOT(ISNUMBER(L128)),L128&lt;=0),"Evidência pendente","Compatível"),"Divergente")))</f>
        <v/>
      </c>
      <c r="J128" s="12" t="inlineStr">
        <is>
          <t>etapa10-ct10/evidencias/comparacao-ct10.json; banco.json; registros-ct10.json — massa fictícia; sem aceite financeiro</t>
        </is>
      </c>
      <c r="K128" s="12" t="inlineStr">
        <is>
          <t>Codex — execução automatizada isolada, não responsável financeiro</t>
        </is>
      </c>
      <c r="L128" s="28" t="n">
        <v>46317.48563835648</v>
      </c>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v>1000000</v>
      </c>
      <c r="H140" s="29">
        <f>IF(AND(ISNUMBER(F140),ISNUMBER(G140)),G140-F140,"")</f>
        <v/>
      </c>
      <c r="I140" s="20">
        <f>IF(COUNTBLANK(G140)=1,"Não executado",IF(ISNUMBER(F140)&lt;&gt;ISNUMBER(G140),"Tipo incompatível",IF(IF(E140="&lt;&gt;",G140&lt;&gt;F140,G140=F140),IF(OR(J140="",K140="",NOT(ISNUMBER(L140)),L140&lt;=0),"Evidência pendente","Compatível"),"Divergente")))</f>
        <v/>
      </c>
      <c r="J140" s="23" t="inlineStr">
        <is>
          <t>etapa8-fluxo/evidencias/comparacao-integrais.json; banco.json; anteriores/liquidacoes.json; anteriores/integracao/integracao.json — isolamento, sem aceite financeiro</t>
        </is>
      </c>
      <c r="K140" s="23" t="inlineStr">
        <is>
          <t>Codex — execução automatizada isolada</t>
        </is>
      </c>
      <c r="L140" s="31" t="n">
        <v>46317.43093657408</v>
      </c>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v>600000</v>
      </c>
      <c r="H141" s="32">
        <f>IF(AND(ISNUMBER(F141),ISNUMBER(G141)),G141-F141,"")</f>
        <v/>
      </c>
      <c r="I141" s="16">
        <f>IF(COUNTBLANK(G141)=1,"Não executado",IF(ISNUMBER(F141)&lt;&gt;ISNUMBER(G141),"Tipo incompatível",IF(IF(E141="&lt;&gt;",G141&lt;&gt;F141,G141=F141),IF(OR(J141="",K141="",NOT(ISNUMBER(L141)),L141&lt;=0),"Evidência pendente","Compatível"),"Divergente")))</f>
        <v/>
      </c>
      <c r="J141" s="12" t="inlineStr">
        <is>
          <t>etapa8-fluxo/evidencias/comparacao-integrais.json; banco.json; anteriores/liquidacoes.json; anteriores/integracao/integracao.json — isolamento, sem aceite financeiro</t>
        </is>
      </c>
      <c r="K141" s="12" t="inlineStr">
        <is>
          <t>Codex — execução automatizada isolada</t>
        </is>
      </c>
      <c r="L141" s="28" t="n">
        <v>46317.43093657408</v>
      </c>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v>400000</v>
      </c>
      <c r="H142" s="32">
        <f>IF(AND(ISNUMBER(F142),ISNUMBER(G142)),G142-F142,"")</f>
        <v/>
      </c>
      <c r="I142" s="16">
        <f>IF(COUNTBLANK(G142)=1,"Não executado",IF(ISNUMBER(F142)&lt;&gt;ISNUMBER(G142),"Tipo incompatível",IF(IF(E142="&lt;&gt;",G142&lt;&gt;F142,G142=F142),IF(OR(J142="",K142="",NOT(ISNUMBER(L142)),L142&lt;=0),"Evidência pendente","Compatível"),"Divergente")))</f>
        <v/>
      </c>
      <c r="J142" s="12" t="inlineStr">
        <is>
          <t>etapa8-fluxo/evidencias/comparacao-integrais.json; banco.json; anteriores/liquidacoes.json; anteriores/integracao/integracao.json — isolamento, sem aceite financeiro</t>
        </is>
      </c>
      <c r="K142" s="12" t="inlineStr">
        <is>
          <t>Codex — execução automatizada isolada</t>
        </is>
      </c>
      <c r="L142" s="28" t="n">
        <v>46317.43093657408</v>
      </c>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v>800000</v>
      </c>
      <c r="H143" s="32">
        <f>IF(AND(ISNUMBER(F143),ISNUMBER(G143)),G143-F143,"")</f>
        <v/>
      </c>
      <c r="I143" s="16">
        <f>IF(COUNTBLANK(G143)=1,"Não executado",IF(ISNUMBER(F143)&lt;&gt;ISNUMBER(G143),"Tipo incompatível",IF(IF(E143="&lt;&gt;",G143&lt;&gt;F143,G143=F143),IF(OR(J143="",K143="",NOT(ISNUMBER(L143)),L143&lt;=0),"Evidência pendente","Compatível"),"Divergente")))</f>
        <v/>
      </c>
      <c r="J143" s="12" t="inlineStr">
        <is>
          <t>etapa8-fluxo/evidencias/comparacao-integrais.json; banco.json; anteriores/liquidacoes.json; anteriores/integracao/integracao.json — isolamento, sem aceite financeiro</t>
        </is>
      </c>
      <c r="K143" s="12" t="inlineStr">
        <is>
          <t>Codex — execução automatizada isolada</t>
        </is>
      </c>
      <c r="L143" s="28" t="n">
        <v>46317.43093657408</v>
      </c>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v>600000</v>
      </c>
      <c r="H144" s="32">
        <f>IF(AND(ISNUMBER(F144),ISNUMBER(G144)),G144-F144,"")</f>
        <v/>
      </c>
      <c r="I144" s="16">
        <f>IF(COUNTBLANK(G144)=1,"Não executado",IF(ISNUMBER(F144)&lt;&gt;ISNUMBER(G144),"Tipo incompatível",IF(IF(E144="&lt;&gt;",G144&lt;&gt;F144,G144=F144),IF(OR(J144="",K144="",NOT(ISNUMBER(L144)),L144&lt;=0),"Evidência pendente","Compatível"),"Divergente")))</f>
        <v/>
      </c>
      <c r="J144" s="12" t="inlineStr">
        <is>
          <t>etapa8-fluxo/evidencias/comparacao-integrais.json; banco.json; anteriores/liquidacoes.json; anteriores/integracao/integracao.json — isolamento, sem aceite financeiro</t>
        </is>
      </c>
      <c r="K144" s="12" t="inlineStr">
        <is>
          <t>Codex — execução automatizada isolada</t>
        </is>
      </c>
      <c r="L144" s="28" t="n">
        <v>46317.43093657408</v>
      </c>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v>200000</v>
      </c>
      <c r="H145" s="32">
        <f>IF(AND(ISNUMBER(F145),ISNUMBER(G145)),G145-F145,"")</f>
        <v/>
      </c>
      <c r="I145" s="16">
        <f>IF(COUNTBLANK(G145)=1,"Não executado",IF(ISNUMBER(F145)&lt;&gt;ISNUMBER(G145),"Tipo incompatível",IF(IF(E145="&lt;&gt;",G145&lt;&gt;F145,G145=F145),IF(OR(J145="",K145="",NOT(ISNUMBER(L145)),L145&lt;=0),"Evidência pendente","Compatível"),"Divergente")))</f>
        <v/>
      </c>
      <c r="J145" s="12" t="inlineStr">
        <is>
          <t>etapa8-fluxo/evidencias/comparacao-integrais.json; banco.json; anteriores/liquidacoes.json; anteriores/integracao/integracao.json — isolamento, sem aceite financeiro</t>
        </is>
      </c>
      <c r="K145" s="12" t="inlineStr">
        <is>
          <t>Codex — execução automatizada isolada</t>
        </is>
      </c>
      <c r="L145" s="28" t="n">
        <v>46317.43093657408</v>
      </c>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v>200000</v>
      </c>
      <c r="H146" s="32">
        <f>IF(AND(ISNUMBER(F146),ISNUMBER(G146)),G146-F146,"")</f>
        <v/>
      </c>
      <c r="I146" s="16">
        <f>IF(COUNTBLANK(G146)=1,"Não executado",IF(ISNUMBER(F146)&lt;&gt;ISNUMBER(G146),"Tipo incompatível",IF(IF(E146="&lt;&gt;",G146&lt;&gt;F146,G146=F146),IF(OR(J146="",K146="",NOT(ISNUMBER(L146)),L146&lt;=0),"Evidência pendente","Compatível"),"Divergente")))</f>
        <v/>
      </c>
      <c r="J146" s="12" t="inlineStr">
        <is>
          <t>etapa8-fluxo/evidencias/comparacao-integrais.json; banco.json; anteriores/liquidacoes.json; anteriores/integracao/integracao.json — isolamento, sem aceite financeiro</t>
        </is>
      </c>
      <c r="K146" s="12" t="inlineStr">
        <is>
          <t>Codex — execução automatizada isolada</t>
        </is>
      </c>
      <c r="L146" s="28" t="n">
        <v>46317.43093657408</v>
      </c>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v>200000</v>
      </c>
      <c r="H147" s="32">
        <f>IF(AND(ISNUMBER(F147),ISNUMBER(G147)),G147-F147,"")</f>
        <v/>
      </c>
      <c r="I147" s="16">
        <f>IF(COUNTBLANK(G147)=1,"Não executado",IF(ISNUMBER(F147)&lt;&gt;ISNUMBER(G147),"Tipo incompatível",IF(IF(E147="&lt;&gt;",G147&lt;&gt;F147,G147=F147),IF(OR(J147="",K147="",NOT(ISNUMBER(L147)),L147&lt;=0),"Evidência pendente","Compatível"),"Divergente")))</f>
        <v/>
      </c>
      <c r="J147" s="12" t="inlineStr">
        <is>
          <t>etapa8-fluxo/evidencias/comparacao-integrais.json; banco.json; anteriores/liquidacoes.json; anteriores/integracao/integracao.json — isolamento, sem aceite financeiro</t>
        </is>
      </c>
      <c r="K147" s="12" t="inlineStr">
        <is>
          <t>Codex — execução automatizada isolada</t>
        </is>
      </c>
      <c r="L147" s="28" t="n">
        <v>46317.43093657408</v>
      </c>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v>0</v>
      </c>
      <c r="H148" s="32">
        <f>IF(AND(ISNUMBER(F148),ISNUMBER(G148)),G148-F148,"")</f>
        <v/>
      </c>
      <c r="I148" s="16">
        <f>IF(COUNTBLANK(G148)=1,"Não executado",IF(ISNUMBER(F148)&lt;&gt;ISNUMBER(G148),"Tipo incompatível",IF(IF(E148="&lt;&gt;",G148&lt;&gt;F148,G148=F148),IF(OR(J148="",K148="",NOT(ISNUMBER(L148)),L148&lt;=0),"Evidência pendente","Compatível"),"Divergente")))</f>
        <v/>
      </c>
      <c r="J148" s="12" t="inlineStr">
        <is>
          <t>etapa8-fluxo/evidencias/comparacao-integrais.json; banco.json; anteriores/liquidacoes.json; anteriores/integracao/integracao.json — isolamento, sem aceite financeiro</t>
        </is>
      </c>
      <c r="K148" s="12" t="inlineStr">
        <is>
          <t>Codex — execução automatizada isolada</t>
        </is>
      </c>
      <c r="L148" s="28" t="n">
        <v>46317.43093657408</v>
      </c>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v>600000</v>
      </c>
      <c r="H149" s="32">
        <f>IF(AND(ISNUMBER(F149),ISNUMBER(G149)),G149-F149,"")</f>
        <v/>
      </c>
      <c r="I149" s="16">
        <f>IF(COUNTBLANK(G149)=1,"Não executado",IF(ISNUMBER(F149)&lt;&gt;ISNUMBER(G149),"Tipo incompatível",IF(IF(E149="&lt;&gt;",G149&lt;&gt;F149,G149=F149),IF(OR(J149="",K149="",NOT(ISNUMBER(L149)),L149&lt;=0),"Evidência pendente","Compatível"),"Divergente")))</f>
        <v/>
      </c>
      <c r="J149" s="12" t="inlineStr">
        <is>
          <t>etapa8-fluxo/evidencias/comparacao-integrais.json; banco.json; anteriores/liquidacoes.json; anteriores/integracao/integracao.json — isolamento, sem aceite financeiro</t>
        </is>
      </c>
      <c r="K149" s="12" t="inlineStr">
        <is>
          <t>Codex — execução automatizada isolada</t>
        </is>
      </c>
      <c r="L149" s="28" t="n">
        <v>46317.43093657408</v>
      </c>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v>1000000</v>
      </c>
      <c r="H150" s="32">
        <f>IF(AND(ISNUMBER(F150),ISNUMBER(G150)),G150-F150,"")</f>
        <v/>
      </c>
      <c r="I150" s="16">
        <f>IF(COUNTBLANK(G150)=1,"Não executado",IF(ISNUMBER(F150)&lt;&gt;ISNUMBER(G150),"Tipo incompatível",IF(IF(E150="&lt;&gt;",G150&lt;&gt;F150,G150=F150),IF(OR(J150="",K150="",NOT(ISNUMBER(L150)),L150&lt;=0),"Evidência pendente","Compatível"),"Divergente")))</f>
        <v/>
      </c>
      <c r="J150" s="12" t="inlineStr">
        <is>
          <t>etapa8-fluxo/evidencias/comparacao-integrais.json; banco.json; anteriores/liquidacoes.json; anteriores/integracao/integracao.json — isolamento, sem aceite financeiro</t>
        </is>
      </c>
      <c r="K150" s="12" t="inlineStr">
        <is>
          <t>Codex — execução automatizada isolada</t>
        </is>
      </c>
      <c r="L150" s="28" t="n">
        <v>46317.43093657408</v>
      </c>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v>60</v>
      </c>
      <c r="H151" s="34">
        <f>IF(AND(ISNUMBER(F151),ISNUMBER(G151)),G151-F151,"")</f>
        <v/>
      </c>
      <c r="I151" s="16">
        <f>IF(COUNTBLANK(G151)=1,"Não executado",IF(ISNUMBER(F151)&lt;&gt;ISNUMBER(G151),"Tipo incompatível",IF(IF(E151="&lt;&gt;",G151&lt;&gt;F151,G151=F151),IF(OR(J151="",K151="",NOT(ISNUMBER(L151)),L151&lt;=0),"Evidência pendente","Compatível"),"Divergente")))</f>
        <v/>
      </c>
      <c r="J151" s="12" t="inlineStr">
        <is>
          <t>etapa8-fluxo/evidencias/comparacao-integrais.json; banco.json; anteriores/liquidacoes.json; anteriores/integracao/integracao.json — isolamento, sem aceite financeiro</t>
        </is>
      </c>
      <c r="K151" s="12" t="inlineStr">
        <is>
          <t>Codex — execução automatizada isolada</t>
        </is>
      </c>
      <c r="L151" s="28" t="n">
        <v>46317.43093657408</v>
      </c>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b">
        <v>0</v>
      </c>
      <c r="H152" s="32">
        <f>IF(AND(ISNUMBER(F152),ISNUMBER(G152)),G152-F152,"")</f>
        <v/>
      </c>
      <c r="I152" s="16">
        <f>IF(COUNTBLANK(G152)=1,"Não executado",IF(ISNUMBER(F152)&lt;&gt;ISNUMBER(G152),"Tipo incompatível",IF(IF(E152="&lt;&gt;",G152&lt;&gt;F152,G152=F152),IF(OR(J152="",K152="",NOT(ISNUMBER(L152)),L152&lt;=0),"Evidência pendente","Compatível"),"Divergente")))</f>
        <v/>
      </c>
      <c r="J152" s="12" t="inlineStr">
        <is>
          <t>etapa8-fluxo/evidencias/comparacao-integrais.json; banco.json; anteriores/liquidacoes.json; anteriores/integracao/integracao.json — isolamento, sem aceite financeiro</t>
        </is>
      </c>
      <c r="K152" s="12" t="inlineStr">
        <is>
          <t>Codex — execução automatizada isolada</t>
        </is>
      </c>
      <c r="L152" s="28" t="n">
        <v>46317.43093657408</v>
      </c>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v>2000000</v>
      </c>
      <c r="H153" s="29">
        <f>IF(AND(ISNUMBER(F153),ISNUMBER(G153)),G153-F153,"")</f>
        <v/>
      </c>
      <c r="I153" s="20">
        <f>IF(COUNTBLANK(G153)=1,"Não executado",IF(ISNUMBER(F153)&lt;&gt;ISNUMBER(G153),"Tipo incompatível",IF(IF(E153="&lt;&gt;",G153&lt;&gt;F153,G153=F153),IF(OR(J153="",K153="",NOT(ISNUMBER(L153)),L153&lt;=0),"Evidência pendente","Compatível"),"Divergente")))</f>
        <v/>
      </c>
      <c r="J153" s="23" t="inlineStr">
        <is>
          <t>etapa9-homologacao/evidencias/comparacao-novos-integrais.json; banco.json; extratos-referencia.json — isolamento; sem aceite financeiro</t>
        </is>
      </c>
      <c r="K153" s="23" t="inlineStr">
        <is>
          <t>Codex — observação automatizada isolada, não responsável financeiro</t>
        </is>
      </c>
      <c r="L153" s="31" t="n">
        <v>46317.45682456018</v>
      </c>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v>600000</v>
      </c>
      <c r="H154" s="32">
        <f>IF(AND(ISNUMBER(F154),ISNUMBER(G154)),G154-F154,"")</f>
        <v/>
      </c>
      <c r="I154" s="16">
        <f>IF(COUNTBLANK(G154)=1,"Não executado",IF(ISNUMBER(F154)&lt;&gt;ISNUMBER(G154),"Tipo incompatível",IF(IF(E154="&lt;&gt;",G154&lt;&gt;F154,G154=F154),IF(OR(J154="",K154="",NOT(ISNUMBER(L154)),L154&lt;=0),"Evidência pendente","Compatível"),"Divergente")))</f>
        <v/>
      </c>
      <c r="J154" s="12" t="inlineStr">
        <is>
          <t>etapa9-homologacao/evidencias/comparacao-novos-integrais.json; banco.json; extratos-referencia.json — isolamento; sem aceite financeiro</t>
        </is>
      </c>
      <c r="K154" s="12" t="inlineStr">
        <is>
          <t>Codex — observação automatizada isolada, não responsável financeiro</t>
        </is>
      </c>
      <c r="L154" s="28" t="n">
        <v>46317.45682456018</v>
      </c>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v>612000</v>
      </c>
      <c r="H155" s="32">
        <f>IF(AND(ISNUMBER(F155),ISNUMBER(G155)),G155-F155,"")</f>
        <v/>
      </c>
      <c r="I155" s="16">
        <f>IF(COUNTBLANK(G155)=1,"Não executado",IF(ISNUMBER(F155)&lt;&gt;ISNUMBER(G155),"Tipo incompatível",IF(IF(E155="&lt;&gt;",G155&lt;&gt;F155,G155=F155),IF(OR(J155="",K155="",NOT(ISNUMBER(L155)),L155&lt;=0),"Evidência pendente","Compatível"),"Divergente")))</f>
        <v/>
      </c>
      <c r="J155" s="12" t="inlineStr">
        <is>
          <t>etapa9-homologacao/evidencias/comparacao-novos-integrais.json; banco.json; extratos-referencia.json — isolamento; sem aceite financeiro</t>
        </is>
      </c>
      <c r="K155" s="12" t="inlineStr">
        <is>
          <t>Codex — observação automatizada isolada, não responsável financeiro</t>
        </is>
      </c>
      <c r="L155" s="28" t="n">
        <v>46317.45682456018</v>
      </c>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v>8612000</v>
      </c>
      <c r="H156" s="32">
        <f>IF(AND(ISNUMBER(F156),ISNUMBER(G156)),G156-F156,"")</f>
        <v/>
      </c>
      <c r="I156" s="16">
        <f>IF(COUNTBLANK(G156)=1,"Não executado",IF(ISNUMBER(F156)&lt;&gt;ISNUMBER(G156),"Tipo incompatível",IF(IF(E156="&lt;&gt;",G156&lt;&gt;F156,G156=F156),IF(OR(J156="",K156="",NOT(ISNUMBER(L156)),L156&lt;=0),"Evidência pendente","Compatível"),"Divergente")))</f>
        <v/>
      </c>
      <c r="J156" s="12" t="inlineStr">
        <is>
          <t>etapa9-homologacao/evidencias/comparacao-novos-integrais.json; banco.json; extratos-referencia.json — isolamento; sem aceite financeiro</t>
        </is>
      </c>
      <c r="K156" s="12" t="inlineStr">
        <is>
          <t>Codex — observação automatizada isolada, não responsável financeiro</t>
        </is>
      </c>
      <c r="L156" s="28" t="n">
        <v>46317.45682456018</v>
      </c>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v>1400000</v>
      </c>
      <c r="H157" s="32">
        <f>IF(AND(ISNUMBER(F157),ISNUMBER(G157)),G157-F157,"")</f>
        <v/>
      </c>
      <c r="I157" s="16">
        <f>IF(COUNTBLANK(G157)=1,"Não executado",IF(ISNUMBER(F157)&lt;&gt;ISNUMBER(G157),"Tipo incompatível",IF(IF(E157="&lt;&gt;",G157&lt;&gt;F157,G157=F157),IF(OR(J157="",K157="",NOT(ISNUMBER(L157)),L157&lt;=0),"Evidência pendente","Compatível"),"Divergente")))</f>
        <v/>
      </c>
      <c r="J157" s="12" t="inlineStr">
        <is>
          <t>etapa9-homologacao/evidencias/comparacao-novos-integrais.json; banco.json; extratos-referencia.json — isolamento; sem aceite financeiro</t>
        </is>
      </c>
      <c r="K157" s="12" t="inlineStr">
        <is>
          <t>Codex — observação automatizada isolada, não responsável financeiro</t>
        </is>
      </c>
      <c r="L157" s="28" t="n">
        <v>46317.45682456018</v>
      </c>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v>30</v>
      </c>
      <c r="H158" s="34">
        <f>IF(AND(ISNUMBER(F158),ISNUMBER(G158)),G158-F158,"")</f>
        <v/>
      </c>
      <c r="I158" s="16">
        <f>IF(COUNTBLANK(G158)=1,"Não executado",IF(ISNUMBER(F158)&lt;&gt;ISNUMBER(G158),"Tipo incompatível",IF(IF(E158="&lt;&gt;",G158&lt;&gt;F158,G158=F158),IF(OR(J158="",K158="",NOT(ISNUMBER(L158)),L158&lt;=0),"Evidência pendente","Compatível"),"Divergente")))</f>
        <v/>
      </c>
      <c r="J158" s="12" t="inlineStr">
        <is>
          <t>etapa9-homologacao/evidencias/comparacao-novos-integrais.json; banco.json; extratos-referencia.json — isolamento; sem aceite financeiro</t>
        </is>
      </c>
      <c r="K158" s="12" t="inlineStr">
        <is>
          <t>Codex — observação automatizada isolada, não responsável financeiro</t>
        </is>
      </c>
      <c r="L158" s="28" t="n">
        <v>46317.45682456018</v>
      </c>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v>1000000</v>
      </c>
      <c r="H159" s="29">
        <f>IF(AND(ISNUMBER(F159),ISNUMBER(G159)),G159-F159,"")</f>
        <v/>
      </c>
      <c r="I159" s="20">
        <f>IF(COUNTBLANK(G159)=1,"Não executado",IF(ISNUMBER(F159)&lt;&gt;ISNUMBER(G159),"Tipo incompatível",IF(IF(E159="&lt;&gt;",G159&lt;&gt;F159,G159=F159),IF(OR(J159="",K159="",NOT(ISNUMBER(L159)),L159&lt;=0),"Evidência pendente","Compatível"),"Divergente")))</f>
        <v/>
      </c>
      <c r="J159" s="23" t="inlineStr">
        <is>
          <t>etapa9-homologacao/evidencias/comparacao-novos-integrais.json; banco.json; extratos-referencia.json — isolamento; sem aceite financeiro</t>
        </is>
      </c>
      <c r="K159" s="23" t="inlineStr">
        <is>
          <t>Codex — observação automatizada isolada, não responsável financeiro</t>
        </is>
      </c>
      <c r="L159" s="31" t="n">
        <v>46317.45682456018</v>
      </c>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v>0</v>
      </c>
      <c r="H160" s="32">
        <f>IF(AND(ISNUMBER(F160),ISNUMBER(G160)),G160-F160,"")</f>
        <v/>
      </c>
      <c r="I160" s="16">
        <f>IF(COUNTBLANK(G160)=1,"Não executado",IF(ISNUMBER(F160)&lt;&gt;ISNUMBER(G160),"Tipo incompatível",IF(IF(E160="&lt;&gt;",G160&lt;&gt;F160,G160=F160),IF(OR(J160="",K160="",NOT(ISNUMBER(L160)),L160&lt;=0),"Evidência pendente","Compatível"),"Divergente")))</f>
        <v/>
      </c>
      <c r="J160" s="12" t="inlineStr">
        <is>
          <t>etapa9-homologacao/evidencias/comparacao-novos-integrais.json; banco.json; extratos-referencia.json — isolamento; sem aceite financeiro</t>
        </is>
      </c>
      <c r="K160" s="12" t="inlineStr">
        <is>
          <t>Codex — observação automatizada isolada, não responsável financeiro</t>
        </is>
      </c>
      <c r="L160" s="28" t="n">
        <v>46317.45682456018</v>
      </c>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v>980000</v>
      </c>
      <c r="H161" s="32">
        <f>IF(AND(ISNUMBER(F161),ISNUMBER(G161)),G161-F161,"")</f>
        <v/>
      </c>
      <c r="I161" s="16">
        <f>IF(COUNTBLANK(G161)=1,"Não executado",IF(ISNUMBER(F161)&lt;&gt;ISNUMBER(G161),"Tipo incompatível",IF(IF(E161="&lt;&gt;",G161&lt;&gt;F161,G161=F161),IF(OR(J161="",K161="",NOT(ISNUMBER(L161)),L161&lt;=0),"Evidência pendente","Compatível"),"Divergente")))</f>
        <v/>
      </c>
      <c r="J161" s="12" t="inlineStr">
        <is>
          <t>etapa9-homologacao/evidencias/comparacao-novos-integrais.json; banco.json; extratos-referencia.json — isolamento; sem aceite financeiro</t>
        </is>
      </c>
      <c r="K161" s="12" t="inlineStr">
        <is>
          <t>Codex — observação automatizada isolada, não responsável financeiro</t>
        </is>
      </c>
      <c r="L161" s="28" t="n">
        <v>46317.45682456018</v>
      </c>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v>20000</v>
      </c>
      <c r="H162" s="32">
        <f>IF(AND(ISNUMBER(F162),ISNUMBER(G162)),G162-F162,"")</f>
        <v/>
      </c>
      <c r="I162" s="16">
        <f>IF(COUNTBLANK(G162)=1,"Não executado",IF(ISNUMBER(F162)&lt;&gt;ISNUMBER(G162),"Tipo incompatível",IF(IF(E162="&lt;&gt;",G162&lt;&gt;F162,G162=F162),IF(OR(J162="",K162="",NOT(ISNUMBER(L162)),L162&lt;=0),"Evidência pendente","Compatível"),"Divergente")))</f>
        <v/>
      </c>
      <c r="J162" s="12" t="inlineStr">
        <is>
          <t>etapa9-homologacao/evidencias/comparacao-novos-integrais.json; banco.json; extratos-referencia.json — isolamento; sem aceite financeiro</t>
        </is>
      </c>
      <c r="K162" s="12" t="inlineStr">
        <is>
          <t>Codex — observação automatizada isolada, não responsável financeiro</t>
        </is>
      </c>
      <c r="L162" s="28" t="n">
        <v>46317.45682456018</v>
      </c>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v>0</v>
      </c>
      <c r="H163" s="32">
        <f>IF(AND(ISNUMBER(F163),ISNUMBER(G163)),G163-F163,"")</f>
        <v/>
      </c>
      <c r="I163" s="16">
        <f>IF(COUNTBLANK(G163)=1,"Não executado",IF(ISNUMBER(F163)&lt;&gt;ISNUMBER(G163),"Tipo incompatível",IF(IF(E163="&lt;&gt;",G163&lt;&gt;F163,G163=F163),IF(OR(J163="",K163="",NOT(ISNUMBER(L163)),L163&lt;=0),"Evidência pendente","Compatível"),"Divergente")))</f>
        <v/>
      </c>
      <c r="J163" s="12" t="inlineStr">
        <is>
          <t>etapa9-homologacao/evidencias/comparacao-novos-integrais.json; banco.json; extratos-referencia.json — isolamento; sem aceite financeiro</t>
        </is>
      </c>
      <c r="K163" s="12" t="inlineStr">
        <is>
          <t>Codex — observação automatizada isolada, não responsável financeiro</t>
        </is>
      </c>
      <c r="L163" s="28" t="n">
        <v>46317.45682456018</v>
      </c>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v>10000000</v>
      </c>
      <c r="H164" s="32">
        <f>IF(AND(ISNUMBER(F164),ISNUMBER(G164)),G164-F164,"")</f>
        <v/>
      </c>
      <c r="I164" s="16">
        <f>IF(COUNTBLANK(G164)=1,"Não executado",IF(ISNUMBER(F164)&lt;&gt;ISNUMBER(G164),"Tipo incompatível",IF(IF(E164="&lt;&gt;",G164&lt;&gt;F164,G164=F164),IF(OR(J164="",K164="",NOT(ISNUMBER(L164)),L164&lt;=0),"Evidência pendente","Compatível"),"Divergente")))</f>
        <v/>
      </c>
      <c r="J164" s="12" t="inlineStr">
        <is>
          <t>etapa9-homologacao/evidencias/comparacao-novos-integrais.json; banco.json; extratos-referencia.json — isolamento; sem aceite financeiro</t>
        </is>
      </c>
      <c r="K164" s="12" t="inlineStr">
        <is>
          <t>Codex — observação automatizada isolada, não responsável financeiro</t>
        </is>
      </c>
      <c r="L164" s="28" t="n">
        <v>46317.45682456018</v>
      </c>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v>0</v>
      </c>
      <c r="H165" s="32">
        <f>IF(AND(ISNUMBER(F165),ISNUMBER(G165)),G165-F165,"")</f>
        <v/>
      </c>
      <c r="I165" s="16">
        <f>IF(COUNTBLANK(G165)=1,"Não executado",IF(ISNUMBER(F165)&lt;&gt;ISNUMBER(G165),"Tipo incompatível",IF(IF(E165="&lt;&gt;",G165&lt;&gt;F165,G165=F165),IF(OR(J165="",K165="",NOT(ISNUMBER(L165)),L165&lt;=0),"Evidência pendente","Compatível"),"Divergente")))</f>
        <v/>
      </c>
      <c r="J165" s="12" t="inlineStr">
        <is>
          <t>etapa9-homologacao/evidencias/comparacao-novos-integrais.json; banco.json; extratos-referencia.json — isolamento; sem aceite financeiro</t>
        </is>
      </c>
      <c r="K165" s="12" t="inlineStr">
        <is>
          <t>Codex — observação automatizada isolada, não responsável financeiro</t>
        </is>
      </c>
      <c r="L165" s="28" t="n">
        <v>46317.45682456018</v>
      </c>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v>3000000</v>
      </c>
      <c r="H166" s="32">
        <f>IF(AND(ISNUMBER(F166),ISNUMBER(G166)),G166-F166,"")</f>
        <v/>
      </c>
      <c r="I166" s="16">
        <f>IF(COUNTBLANK(G166)=1,"Não executado",IF(ISNUMBER(F166)&lt;&gt;ISNUMBER(G166),"Tipo incompatível",IF(IF(E166="&lt;&gt;",G166&lt;&gt;F166,G166=F166),IF(OR(J166="",K166="",NOT(ISNUMBER(L166)),L166&lt;=0),"Evidência pendente","Compatível"),"Divergente")))</f>
        <v/>
      </c>
      <c r="J166" s="12" t="inlineStr">
        <is>
          <t>etapa9-homologacao/evidencias/comparacao-novos-integrais.json; banco.json; extratos-referencia.json — isolamento; sem aceite financeiro</t>
        </is>
      </c>
      <c r="K166" s="12" t="inlineStr">
        <is>
          <t>Codex — observação automatizada isolada, não responsável financeiro</t>
        </is>
      </c>
      <c r="L166" s="28" t="n">
        <v>46317.45682456018</v>
      </c>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v>7000000</v>
      </c>
      <c r="H167" s="32">
        <f>IF(AND(ISNUMBER(F167),ISNUMBER(G167)),G167-F167,"")</f>
        <v/>
      </c>
      <c r="I167" s="16">
        <f>IF(COUNTBLANK(G167)=1,"Não executado",IF(ISNUMBER(F167)&lt;&gt;ISNUMBER(G167),"Tipo incompatível",IF(IF(E167="&lt;&gt;",G167&lt;&gt;F167,G167=F167),IF(OR(J167="",K167="",NOT(ISNUMBER(L167)),L167&lt;=0),"Evidência pendente","Compatível"),"Divergente")))</f>
        <v/>
      </c>
      <c r="J167" s="12" t="inlineStr">
        <is>
          <t>etapa9-homologacao/evidencias/comparacao-novos-integrais.json; banco.json; extratos-referencia.json — isolamento; sem aceite financeiro</t>
        </is>
      </c>
      <c r="K167" s="12" t="inlineStr">
        <is>
          <t>Codex — observação automatizada isolada, não responsável financeiro</t>
        </is>
      </c>
      <c r="L167" s="28" t="n">
        <v>46317.45682456018</v>
      </c>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v>2998500</v>
      </c>
      <c r="H168" s="29">
        <f>IF(AND(ISNUMBER(F168),ISNUMBER(G168)),G168-F168,"")</f>
        <v/>
      </c>
      <c r="I168" s="20">
        <f>IF(COUNTBLANK(G168)=1,"Não executado",IF(ISNUMBER(F168)&lt;&gt;ISNUMBER(G168),"Tipo incompatível",IF(IF(E168="&lt;&gt;",G168&lt;&gt;F168,G168=F168),IF(OR(J168="",K168="",NOT(ISNUMBER(L168)),L168&lt;=0),"Evidência pendente","Compatível"),"Divergente")))</f>
        <v/>
      </c>
      <c r="J168" s="23" t="inlineStr">
        <is>
          <t>etapa8-fluxo/evidencias/comparacao-integrais.json; banco.json; anteriores/liquidacoes.json; anteriores/integracao/integracao.json — isolamento, sem aceite financeiro</t>
        </is>
      </c>
      <c r="K168" s="23" t="inlineStr">
        <is>
          <t>Codex — execução automatizada isolada</t>
        </is>
      </c>
      <c r="L168" s="31" t="n">
        <v>46317.43093657408</v>
      </c>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v>1000000</v>
      </c>
      <c r="H169" s="32">
        <f>IF(AND(ISNUMBER(F169),ISNUMBER(G169)),G169-F169,"")</f>
        <v/>
      </c>
      <c r="I169" s="16">
        <f>IF(COUNTBLANK(G169)=1,"Não executado",IF(ISNUMBER(F169)&lt;&gt;ISNUMBER(G169),"Tipo incompatível",IF(IF(E169="&lt;&gt;",G169&lt;&gt;F169,G169=F169),IF(OR(J169="",K169="",NOT(ISNUMBER(L169)),L169&lt;=0),"Evidência pendente","Compatível"),"Divergente")))</f>
        <v/>
      </c>
      <c r="J169" s="12" t="inlineStr">
        <is>
          <t>etapa8-fluxo/evidencias/comparacao-integrais.json; banco.json; anteriores/liquidacoes.json; anteriores/integracao/integracao.json — isolamento, sem aceite financeiro</t>
        </is>
      </c>
      <c r="K169" s="12" t="inlineStr">
        <is>
          <t>Codex — execução automatizada isolada</t>
        </is>
      </c>
      <c r="L169" s="28" t="n">
        <v>46317.43093657408</v>
      </c>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v>3998500</v>
      </c>
      <c r="H170" s="32">
        <f>IF(AND(ISNUMBER(F170),ISNUMBER(G170)),G170-F170,"")</f>
        <v/>
      </c>
      <c r="I170" s="16">
        <f>IF(COUNTBLANK(G170)=1,"Não executado",IF(ISNUMBER(F170)&lt;&gt;ISNUMBER(G170),"Tipo incompatível",IF(IF(E170="&lt;&gt;",G170&lt;&gt;F170,G170=F170),IF(OR(J170="",K170="",NOT(ISNUMBER(L170)),L170&lt;=0),"Evidência pendente","Compatível"),"Divergente")))</f>
        <v/>
      </c>
      <c r="J170" s="12" t="inlineStr">
        <is>
          <t>etapa8-fluxo/evidencias/comparacao-integrais.json; banco.json; anteriores/liquidacoes.json; anteriores/integracao/integracao.json — isolamento, sem aceite financeiro</t>
        </is>
      </c>
      <c r="K170" s="12" t="inlineStr">
        <is>
          <t>Codex — execução automatizada isolada</t>
        </is>
      </c>
      <c r="L170" s="28" t="n">
        <v>46317.43093657408</v>
      </c>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v>2000000</v>
      </c>
      <c r="H171" s="32">
        <f>IF(AND(ISNUMBER(F171),ISNUMBER(G171)),G171-F171,"")</f>
        <v/>
      </c>
      <c r="I171" s="16">
        <f>IF(COUNTBLANK(G171)=1,"Não executado",IF(ISNUMBER(F171)&lt;&gt;ISNUMBER(G171),"Tipo incompatível",IF(IF(E171="&lt;&gt;",G171&lt;&gt;F171,G171=F171),IF(OR(J171="",K171="",NOT(ISNUMBER(L171)),L171&lt;=0),"Evidência pendente","Compatível"),"Divergente")))</f>
        <v/>
      </c>
      <c r="J171" s="12" t="inlineStr">
        <is>
          <t>etapa8-fluxo/evidencias/comparacao-integrais.json; banco.json; anteriores/liquidacoes.json; anteriores/integracao/integracao.json — isolamento, sem aceite financeiro</t>
        </is>
      </c>
      <c r="K171" s="12" t="inlineStr">
        <is>
          <t>Codex — execução automatizada isolada</t>
        </is>
      </c>
      <c r="L171" s="28" t="n">
        <v>46317.43093657408</v>
      </c>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v>3998500</v>
      </c>
      <c r="H172" s="32">
        <f>IF(AND(ISNUMBER(F172),ISNUMBER(G172)),G172-F172,"")</f>
        <v/>
      </c>
      <c r="I172" s="16">
        <f>IF(COUNTBLANK(G172)=1,"Não executado",IF(ISNUMBER(F172)&lt;&gt;ISNUMBER(G172),"Tipo incompatível",IF(IF(E172="&lt;&gt;",G172&lt;&gt;F172,G172=F172),IF(OR(J172="",K172="",NOT(ISNUMBER(L172)),L172&lt;=0),"Evidência pendente","Compatível"),"Divergente")))</f>
        <v/>
      </c>
      <c r="J172" s="12" t="inlineStr">
        <is>
          <t>etapa8-fluxo/evidencias/comparacao-integrais.json; banco.json; anteriores/liquidacoes.json; anteriores/integracao/integracao.json — isolamento, sem aceite financeiro</t>
        </is>
      </c>
      <c r="K172" s="12" t="inlineStr">
        <is>
          <t>Codex — execução automatizada isolada</t>
        </is>
      </c>
      <c r="L172" s="28" t="n">
        <v>46317.43093657408</v>
      </c>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v>1500</v>
      </c>
      <c r="H173" s="32">
        <f>IF(AND(ISNUMBER(F173),ISNUMBER(G173)),G173-F173,"")</f>
        <v/>
      </c>
      <c r="I173" s="16">
        <f>IF(COUNTBLANK(G173)=1,"Não executado",IF(ISNUMBER(F173)&lt;&gt;ISNUMBER(G173),"Tipo incompatível",IF(IF(E173="&lt;&gt;",G173&lt;&gt;F173,G173=F173),IF(OR(J173="",K173="",NOT(ISNUMBER(L173)),L173&lt;=0),"Evidência pendente","Compatível"),"Divergente")))</f>
        <v/>
      </c>
      <c r="J173" s="12" t="inlineStr">
        <is>
          <t>etapa8-fluxo/evidencias/comparacao-integrais.json; banco.json; anteriores/liquidacoes.json; anteriores/integracao/integracao.json — isolamento, sem aceite financeiro</t>
        </is>
      </c>
      <c r="K173" s="12" t="inlineStr">
        <is>
          <t>Codex — execução automatizada isolada</t>
        </is>
      </c>
      <c r="L173" s="28" t="n">
        <v>46317.43093657408</v>
      </c>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v>2998500</v>
      </c>
      <c r="H174" s="32">
        <f>IF(AND(ISNUMBER(F174),ISNUMBER(G174)),G174-F174,"")</f>
        <v/>
      </c>
      <c r="I174" s="16">
        <f>IF(COUNTBLANK(G174)=1,"Não executado",IF(ISNUMBER(F174)&lt;&gt;ISNUMBER(G174),"Tipo incompatível",IF(IF(E174="&lt;&gt;",G174&lt;&gt;F174,G174=F174),IF(OR(J174="",K174="",NOT(ISNUMBER(L174)),L174&lt;=0),"Evidência pendente","Compatível"),"Divergente")))</f>
        <v/>
      </c>
      <c r="J174" s="12" t="inlineStr">
        <is>
          <t>etapa8-fluxo/evidencias/comparacao-integrais.json; banco.json; anteriores/liquidacoes.json; anteriores/integracao/integracao.json — isolamento, sem aceite financeiro</t>
        </is>
      </c>
      <c r="K174" s="12" t="inlineStr">
        <is>
          <t>Codex — execução automatizada isolada</t>
        </is>
      </c>
      <c r="L174" s="28" t="n">
        <v>46317.43093657408</v>
      </c>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v>3000000</v>
      </c>
      <c r="H175" s="32">
        <f>IF(AND(ISNUMBER(F175),ISNUMBER(G175)),G175-F175,"")</f>
        <v/>
      </c>
      <c r="I175" s="16">
        <f>IF(COUNTBLANK(G175)=1,"Não executado",IF(ISNUMBER(F175)&lt;&gt;ISNUMBER(G175),"Tipo incompatível",IF(IF(E175="&lt;&gt;",G175&lt;&gt;F175,G175=F175),IF(OR(J175="",K175="",NOT(ISNUMBER(L175)),L175&lt;=0),"Evidência pendente","Compatível"),"Divergente")))</f>
        <v/>
      </c>
      <c r="J175" s="12" t="inlineStr">
        <is>
          <t>etapa8-fluxo/evidencias/comparacao-integrais.json; banco.json; anteriores/liquidacoes.json; anteriores/integracao/integracao.json — isolamento, sem aceite financeiro</t>
        </is>
      </c>
      <c r="K175" s="12" t="inlineStr">
        <is>
          <t>Codex — execução automatizada isolada</t>
        </is>
      </c>
      <c r="L175" s="28" t="n">
        <v>46317.43093657408</v>
      </c>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v>5998500</v>
      </c>
      <c r="H176" s="32">
        <f>IF(AND(ISNUMBER(F176),ISNUMBER(G176)),G176-F176,"")</f>
        <v/>
      </c>
      <c r="I176" s="16">
        <f>IF(COUNTBLANK(G176)=1,"Não executado",IF(ISNUMBER(F176)&lt;&gt;ISNUMBER(G176),"Tipo incompatível",IF(IF(E176="&lt;&gt;",G176&lt;&gt;F176,G176=F176),IF(OR(J176="",K176="",NOT(ISNUMBER(L176)),L176&lt;=0),"Evidência pendente","Compatível"),"Divergente")))</f>
        <v/>
      </c>
      <c r="J176" s="12" t="inlineStr">
        <is>
          <t>etapa8-fluxo/evidencias/comparacao-integrais.json; banco.json; anteriores/liquidacoes.json; anteriores/integracao/integracao.json — isolamento, sem aceite financeiro</t>
        </is>
      </c>
      <c r="K176" s="12" t="inlineStr">
        <is>
          <t>Codex — execução automatizada isolada</t>
        </is>
      </c>
      <c r="L176" s="28" t="n">
        <v>46317.43093657408</v>
      </c>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v>0</v>
      </c>
      <c r="H177" s="32">
        <f>IF(AND(ISNUMBER(F177),ISNUMBER(G177)),G177-F177,"")</f>
        <v/>
      </c>
      <c r="I177" s="16">
        <f>IF(COUNTBLANK(G177)=1,"Não executado",IF(ISNUMBER(F177)&lt;&gt;ISNUMBER(G177),"Tipo incompatível",IF(IF(E177="&lt;&gt;",G177&lt;&gt;F177,G177=F177),IF(OR(J177="",K177="",NOT(ISNUMBER(L177)),L177&lt;=0),"Evidência pendente","Compatível"),"Divergente")))</f>
        <v/>
      </c>
      <c r="J177" s="12" t="inlineStr">
        <is>
          <t>etapa8-fluxo/evidencias/comparacao-integrais.json; banco.json; anteriores/liquidacoes.json; anteriores/integracao/integracao.json — isolamento, sem aceite financeiro</t>
        </is>
      </c>
      <c r="K177" s="12" t="inlineStr">
        <is>
          <t>Codex — execução automatizada isolada</t>
        </is>
      </c>
      <c r="L177" s="28" t="n">
        <v>46317.43093657408</v>
      </c>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v>1500</v>
      </c>
      <c r="H178" s="32">
        <f>IF(AND(ISNUMBER(F178),ISNUMBER(G178)),G178-F178,"")</f>
        <v/>
      </c>
      <c r="I178" s="16">
        <f>IF(COUNTBLANK(G178)=1,"Não executado",IF(ISNUMBER(F178)&lt;&gt;ISNUMBER(G178),"Tipo incompatível",IF(IF(E178="&lt;&gt;",G178&lt;&gt;F178,G178=F178),IF(OR(J178="",K178="",NOT(ISNUMBER(L178)),L178&lt;=0),"Evidência pendente","Compatível"),"Divergente")))</f>
        <v/>
      </c>
      <c r="J178" s="12" t="inlineStr">
        <is>
          <t>etapa8-fluxo/evidencias/comparacao-integrais.json; banco.json; anteriores/liquidacoes.json; anteriores/integracao/integracao.json — isolamento, sem aceite financeiro</t>
        </is>
      </c>
      <c r="K178" s="12" t="inlineStr">
        <is>
          <t>Codex — execução automatizada isolada</t>
        </is>
      </c>
      <c r="L178" s="28" t="n">
        <v>46317.43093657408</v>
      </c>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v>0</v>
      </c>
      <c r="H179" s="32">
        <f>IF(AND(ISNUMBER(F179),ISNUMBER(G179)),G179-F179,"")</f>
        <v/>
      </c>
      <c r="I179" s="16">
        <f>IF(COUNTBLANK(G179)=1,"Não executado",IF(ISNUMBER(F179)&lt;&gt;ISNUMBER(G179),"Tipo incompatível",IF(IF(E179="&lt;&gt;",G179&lt;&gt;F179,G179=F179),IF(OR(J179="",K179="",NOT(ISNUMBER(L179)),L179&lt;=0),"Evidência pendente","Compatível"),"Divergente")))</f>
        <v/>
      </c>
      <c r="J179" s="12" t="inlineStr">
        <is>
          <t>etapa8-fluxo/evidencias/comparacao-integrais.json; banco.json; anteriores/liquidacoes.json; anteriores/integracao/integracao.json — isolamento, sem aceite financeiro</t>
        </is>
      </c>
      <c r="K179" s="12" t="inlineStr">
        <is>
          <t>Codex — execução automatizada isolada</t>
        </is>
      </c>
      <c r="L179" s="28" t="n">
        <v>46317.43093657408</v>
      </c>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v>3000000</v>
      </c>
      <c r="H180" s="29">
        <f>IF(AND(ISNUMBER(F180),ISNUMBER(G180)),G180-F180,"")</f>
        <v/>
      </c>
      <c r="I180" s="20">
        <f>IF(COUNTBLANK(G180)=1,"Não executado",IF(ISNUMBER(F180)&lt;&gt;ISNUMBER(G180),"Tipo incompatível",IF(IF(E180="&lt;&gt;",G180&lt;&gt;F180,G180=F180),IF(OR(J180="",K180="",NOT(ISNUMBER(L180)),L180&lt;=0),"Evidência pendente","Compatível"),"Divergente")))</f>
        <v/>
      </c>
      <c r="J180" s="23" t="inlineStr">
        <is>
          <t>etapa8-fluxo/evidencias/comparacao-integrais.json; banco.json; anteriores/liquidacoes.json; anteriores/integracao/integracao.json — isolamento, sem aceite financeiro</t>
        </is>
      </c>
      <c r="K180" s="23" t="inlineStr">
        <is>
          <t>Codex — execução automatizada isolada</t>
        </is>
      </c>
      <c r="L180" s="31" t="n">
        <v>46317.43093657408</v>
      </c>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v>2000000</v>
      </c>
      <c r="H181" s="32">
        <f>IF(AND(ISNUMBER(F181),ISNUMBER(G181)),G181-F181,"")</f>
        <v/>
      </c>
      <c r="I181" s="16">
        <f>IF(COUNTBLANK(G181)=1,"Não executado",IF(ISNUMBER(F181)&lt;&gt;ISNUMBER(G181),"Tipo incompatível",IF(IF(E181="&lt;&gt;",G181&lt;&gt;F181,G181=F181),IF(OR(J181="",K181="",NOT(ISNUMBER(L181)),L181&lt;=0),"Evidência pendente","Compatível"),"Divergente")))</f>
        <v/>
      </c>
      <c r="J181" s="12" t="inlineStr">
        <is>
          <t>etapa8-fluxo/evidencias/comparacao-integrais.json; banco.json; anteriores/liquidacoes.json; anteriores/integracao/integracao.json — isolamento, sem aceite financeiro</t>
        </is>
      </c>
      <c r="K181" s="12" t="inlineStr">
        <is>
          <t>Codex — execução automatizada isolada</t>
        </is>
      </c>
      <c r="L181" s="28" t="n">
        <v>46317.43093657408</v>
      </c>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v>2000000</v>
      </c>
      <c r="H182" s="32">
        <f>IF(AND(ISNUMBER(F182),ISNUMBER(G182)),G182-F182,"")</f>
        <v/>
      </c>
      <c r="I182" s="16">
        <f>IF(COUNTBLANK(G182)=1,"Não executado",IF(ISNUMBER(F182)&lt;&gt;ISNUMBER(G182),"Tipo incompatível",IF(IF(E182="&lt;&gt;",G182&lt;&gt;F182,G182=F182),IF(OR(J182="",K182="",NOT(ISNUMBER(L182)),L182&lt;=0),"Evidência pendente","Compatível"),"Divergente")))</f>
        <v/>
      </c>
      <c r="J182" s="12" t="inlineStr">
        <is>
          <t>etapa8-fluxo/evidencias/comparacao-integrais.json; banco.json; anteriores/liquidacoes.json; anteriores/integracao/integracao.json — isolamento, sem aceite financeiro</t>
        </is>
      </c>
      <c r="K182" s="12" t="inlineStr">
        <is>
          <t>Codex — execução automatizada isolada</t>
        </is>
      </c>
      <c r="L182" s="28" t="n">
        <v>46317.43093657408</v>
      </c>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v>3000000</v>
      </c>
      <c r="H183" s="32">
        <f>IF(AND(ISNUMBER(F183),ISNUMBER(G183)),G183-F183,"")</f>
        <v/>
      </c>
      <c r="I183" s="16">
        <f>IF(COUNTBLANK(G183)=1,"Não executado",IF(ISNUMBER(F183)&lt;&gt;ISNUMBER(G183),"Tipo incompatível",IF(IF(E183="&lt;&gt;",G183&lt;&gt;F183,G183=F183),IF(OR(J183="",K183="",NOT(ISNUMBER(L183)),L183&lt;=0),"Evidência pendente","Compatível"),"Divergente")))</f>
        <v/>
      </c>
      <c r="J183" s="12" t="inlineStr">
        <is>
          <t>etapa8-fluxo/evidencias/comparacao-integrais.json; banco.json; anteriores/liquidacoes.json; anteriores/integracao/integracao.json — isolamento, sem aceite financeiro</t>
        </is>
      </c>
      <c r="K183" s="12" t="inlineStr">
        <is>
          <t>Codex — execução automatizada isolada</t>
        </is>
      </c>
      <c r="L183" s="28" t="n">
        <v>46317.43093657408</v>
      </c>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v>2000000</v>
      </c>
      <c r="H184" s="32">
        <f>IF(AND(ISNUMBER(F184),ISNUMBER(G184)),G184-F184,"")</f>
        <v/>
      </c>
      <c r="I184" s="16">
        <f>IF(COUNTBLANK(G184)=1,"Não executado",IF(ISNUMBER(F184)&lt;&gt;ISNUMBER(G184),"Tipo incompatível",IF(IF(E184="&lt;&gt;",G184&lt;&gt;F184,G184=F184),IF(OR(J184="",K184="",NOT(ISNUMBER(L184)),L184&lt;=0),"Evidência pendente","Compatível"),"Divergente")))</f>
        <v/>
      </c>
      <c r="J184" s="12" t="inlineStr">
        <is>
          <t>etapa8-fluxo/evidencias/comparacao-integrais.json; banco.json; anteriores/liquidacoes.json; anteriores/integracao/integracao.json — isolamento, sem aceite financeiro</t>
        </is>
      </c>
      <c r="K184" s="12" t="inlineStr">
        <is>
          <t>Codex — execução automatizada isolada</t>
        </is>
      </c>
      <c r="L184" s="28" t="n">
        <v>46317.43093657408</v>
      </c>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v>2000000</v>
      </c>
      <c r="H185" s="32">
        <f>IF(AND(ISNUMBER(F185),ISNUMBER(G185)),G185-F185,"")</f>
        <v/>
      </c>
      <c r="I185" s="16">
        <f>IF(COUNTBLANK(G185)=1,"Não executado",IF(ISNUMBER(F185)&lt;&gt;ISNUMBER(G185),"Tipo incompatível",IF(IF(E185="&lt;&gt;",G185&lt;&gt;F185,G185=F185),IF(OR(J185="",K185="",NOT(ISNUMBER(L185)),L185&lt;=0),"Evidência pendente","Compatível"),"Divergente")))</f>
        <v/>
      </c>
      <c r="J185" s="12" t="inlineStr">
        <is>
          <t>etapa8-fluxo/evidencias/comparacao-integrais.json; banco.json; anteriores/liquidacoes.json; anteriores/integracao/integracao.json — isolamento, sem aceite financeiro</t>
        </is>
      </c>
      <c r="K185" s="12" t="inlineStr">
        <is>
          <t>Codex — execução automatizada isolada</t>
        </is>
      </c>
      <c r="L185" s="28" t="n">
        <v>46317.43093657408</v>
      </c>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v>6000000</v>
      </c>
      <c r="H186" s="32">
        <f>IF(AND(ISNUMBER(F186),ISNUMBER(G186)),G186-F186,"")</f>
        <v/>
      </c>
      <c r="I186" s="16">
        <f>IF(COUNTBLANK(G186)=1,"Não executado",IF(ISNUMBER(F186)&lt;&gt;ISNUMBER(G186),"Tipo incompatível",IF(IF(E186="&lt;&gt;",G186&lt;&gt;F186,G186=F186),IF(OR(J186="",K186="",NOT(ISNUMBER(L186)),L186&lt;=0),"Evidência pendente","Compatível"),"Divergente")))</f>
        <v/>
      </c>
      <c r="J186" s="12" t="inlineStr">
        <is>
          <t>etapa8-fluxo/evidencias/comparacao-integrais.json; banco.json; anteriores/liquidacoes.json; anteriores/integracao/integracao.json — isolamento, sem aceite financeiro</t>
        </is>
      </c>
      <c r="K186" s="12" t="inlineStr">
        <is>
          <t>Codex — execução automatizada isolada</t>
        </is>
      </c>
      <c r="L186" s="28" t="n">
        <v>46317.43093657408</v>
      </c>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v>0</v>
      </c>
      <c r="H187" s="32">
        <f>IF(AND(ISNUMBER(F187),ISNUMBER(G187)),G187-F187,"")</f>
        <v/>
      </c>
      <c r="I187" s="16">
        <f>IF(COUNTBLANK(G187)=1,"Não executado",IF(ISNUMBER(F187)&lt;&gt;ISNUMBER(G187),"Tipo incompatível",IF(IF(E187="&lt;&gt;",G187&lt;&gt;F187,G187=F187),IF(OR(J187="",K187="",NOT(ISNUMBER(L187)),L187&lt;=0),"Evidência pendente","Compatível"),"Divergente")))</f>
        <v/>
      </c>
      <c r="J187" s="12" t="inlineStr">
        <is>
          <t>etapa8-fluxo/evidencias/comparacao-integrais.json; banco.json; anteriores/liquidacoes.json; anteriores/integracao/integracao.json — isolamento, sem aceite financeiro</t>
        </is>
      </c>
      <c r="K187" s="12" t="inlineStr">
        <is>
          <t>Codex — execução automatizada isolada</t>
        </is>
      </c>
      <c r="L187" s="28" t="n">
        <v>46317.43093657408</v>
      </c>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v>2000000</v>
      </c>
      <c r="H188" s="32">
        <f>IF(AND(ISNUMBER(F188),ISNUMBER(G188)),G188-F188,"")</f>
        <v/>
      </c>
      <c r="I188" s="16">
        <f>IF(COUNTBLANK(G188)=1,"Não executado",IF(ISNUMBER(F188)&lt;&gt;ISNUMBER(G188),"Tipo incompatível",IF(IF(E188="&lt;&gt;",G188&lt;&gt;F188,G188=F188),IF(OR(J188="",K188="",NOT(ISNUMBER(L188)),L188&lt;=0),"Evidência pendente","Compatível"),"Divergente")))</f>
        <v/>
      </c>
      <c r="J188" s="12" t="inlineStr">
        <is>
          <t>etapa8-fluxo/evidencias/comparacao-integrais.json; banco.json; anteriores/liquidacoes.json; anteriores/integracao/integracao.json — isolamento, sem aceite financeiro</t>
        </is>
      </c>
      <c r="K188" s="12" t="inlineStr">
        <is>
          <t>Codex — execução automatizada isolada</t>
        </is>
      </c>
      <c r="L188" s="28" t="n">
        <v>46317.43093657408</v>
      </c>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v>2000000</v>
      </c>
      <c r="H189" s="32">
        <f>IF(AND(ISNUMBER(F189),ISNUMBER(G189)),G189-F189,"")</f>
        <v/>
      </c>
      <c r="I189" s="16">
        <f>IF(COUNTBLANK(G189)=1,"Não executado",IF(ISNUMBER(F189)&lt;&gt;ISNUMBER(G189),"Tipo incompatível",IF(IF(E189="&lt;&gt;",G189&lt;&gt;F189,G189=F189),IF(OR(J189="",K189="",NOT(ISNUMBER(L189)),L189&lt;=0),"Evidência pendente","Compatível"),"Divergente")))</f>
        <v/>
      </c>
      <c r="J189" s="12" t="inlineStr">
        <is>
          <t>etapa8-fluxo/evidencias/comparacao-integrais.json; banco.json; anteriores/liquidacoes.json; anteriores/integracao/integracao.json — isolamento, sem aceite financeiro</t>
        </is>
      </c>
      <c r="K189" s="12" t="inlineStr">
        <is>
          <t>Codex — execução automatizada isolada</t>
        </is>
      </c>
      <c r="L189" s="28" t="n">
        <v>46317.43093657408</v>
      </c>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v>0</v>
      </c>
      <c r="H190" s="32">
        <f>IF(AND(ISNUMBER(F190),ISNUMBER(G190)),G190-F190,"")</f>
        <v/>
      </c>
      <c r="I190" s="16">
        <f>IF(COUNTBLANK(G190)=1,"Não executado",IF(ISNUMBER(F190)&lt;&gt;ISNUMBER(G190),"Tipo incompatível",IF(IF(E190="&lt;&gt;",G190&lt;&gt;F190,G190=F190),IF(OR(J190="",K190="",NOT(ISNUMBER(L190)),L190&lt;=0),"Evidência pendente","Compatível"),"Divergente")))</f>
        <v/>
      </c>
      <c r="J190" s="12" t="inlineStr">
        <is>
          <t>etapa8-fluxo/evidencias/comparacao-integrais.json; banco.json; anteriores/liquidacoes.json; anteriores/integracao/integracao.json — isolamento, sem aceite financeiro</t>
        </is>
      </c>
      <c r="K190" s="12" t="inlineStr">
        <is>
          <t>Codex — execução automatizada isolada</t>
        </is>
      </c>
      <c r="L190" s="28" t="n">
        <v>46317.43093657408</v>
      </c>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v>0</v>
      </c>
      <c r="H191" s="32">
        <f>IF(AND(ISNUMBER(F191),ISNUMBER(G191)),G191-F191,"")</f>
        <v/>
      </c>
      <c r="I191" s="16">
        <f>IF(COUNTBLANK(G191)=1,"Não executado",IF(ISNUMBER(F191)&lt;&gt;ISNUMBER(G191),"Tipo incompatível",IF(IF(E191="&lt;&gt;",G191&lt;&gt;F191,G191=F191),IF(OR(J191="",K191="",NOT(ISNUMBER(L191)),L191&lt;=0),"Evidência pendente","Compatível"),"Divergente")))</f>
        <v/>
      </c>
      <c r="J191" s="12" t="inlineStr">
        <is>
          <t>etapa8-fluxo/evidencias/comparacao-integrais.json; banco.json; anteriores/liquidacoes.json; anteriores/integracao/integracao.json — isolamento, sem aceite financeiro</t>
        </is>
      </c>
      <c r="K191" s="12" t="inlineStr">
        <is>
          <t>Codex — execução automatizada isolada</t>
        </is>
      </c>
      <c r="L191" s="28" t="n">
        <v>46317.43093657408</v>
      </c>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v>12000000</v>
      </c>
      <c r="H192" s="29">
        <f>IF(AND(ISNUMBER(F192),ISNUMBER(G192)),G192-F192,"")</f>
        <v/>
      </c>
      <c r="I192" s="20">
        <f>IF(COUNTBLANK(G192)=1,"Não executado",IF(ISNUMBER(F192)&lt;&gt;ISNUMBER(G192),"Tipo incompatível",IF(IF(E192="&lt;&gt;",G192&lt;&gt;F192,G192=F192),IF(OR(J192="",K192="",NOT(ISNUMBER(L192)),L192&lt;=0),"Evidência pendente","Compatível"),"Divergente")))</f>
        <v/>
      </c>
      <c r="J192" s="23" t="inlineStr">
        <is>
          <t>etapa8-fluxo/evidencias/comparacao-integrais.json; banco.json; anteriores/liquidacoes.json; anteriores/integracao/integracao.json — isolamento, sem aceite financeiro</t>
        </is>
      </c>
      <c r="K192" s="23" t="inlineStr">
        <is>
          <t>Codex — execução automatizada isolada</t>
        </is>
      </c>
      <c r="L192" s="31" t="n">
        <v>46317.43093657408</v>
      </c>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v>10000000</v>
      </c>
      <c r="H193" s="32">
        <f>IF(AND(ISNUMBER(F193),ISNUMBER(G193)),G193-F193,"")</f>
        <v/>
      </c>
      <c r="I193" s="16">
        <f>IF(COUNTBLANK(G193)=1,"Não executado",IF(ISNUMBER(F193)&lt;&gt;ISNUMBER(G193),"Tipo incompatível",IF(IF(E193="&lt;&gt;",G193&lt;&gt;F193,G193=F193),IF(OR(J193="",K193="",NOT(ISNUMBER(L193)),L193&lt;=0),"Evidência pendente","Compatível"),"Divergente")))</f>
        <v/>
      </c>
      <c r="J193" s="12" t="inlineStr">
        <is>
          <t>etapa8-fluxo/evidencias/comparacao-integrais.json; banco.json; anteriores/liquidacoes.json; anteriores/integracao/integracao.json — isolamento, sem aceite financeiro</t>
        </is>
      </c>
      <c r="K193" s="12" t="inlineStr">
        <is>
          <t>Codex — execução automatizada isolada</t>
        </is>
      </c>
      <c r="L193" s="28" t="n">
        <v>46317.43093657408</v>
      </c>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v>12000000</v>
      </c>
      <c r="H194" s="32">
        <f>IF(AND(ISNUMBER(F194),ISNUMBER(G194)),G194-F194,"")</f>
        <v/>
      </c>
      <c r="I194" s="16">
        <f>IF(COUNTBLANK(G194)=1,"Não executado",IF(ISNUMBER(F194)&lt;&gt;ISNUMBER(G194),"Tipo incompatível",IF(IF(E194="&lt;&gt;",G194&lt;&gt;F194,G194=F194),IF(OR(J194="",K194="",NOT(ISNUMBER(L194)),L194&lt;=0),"Evidência pendente","Compatível"),"Divergente")))</f>
        <v/>
      </c>
      <c r="J194" s="12" t="inlineStr">
        <is>
          <t>etapa8-fluxo/evidencias/comparacao-integrais.json; banco.json; anteriores/liquidacoes.json; anteriores/integracao/integracao.json — isolamento, sem aceite financeiro</t>
        </is>
      </c>
      <c r="K194" s="12" t="inlineStr">
        <is>
          <t>Codex — execução automatizada isolada</t>
        </is>
      </c>
      <c r="L194" s="28" t="n">
        <v>46317.43093657408</v>
      </c>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v>2000000</v>
      </c>
      <c r="H195" s="32">
        <f>IF(AND(ISNUMBER(F195),ISNUMBER(G195)),G195-F195,"")</f>
        <v/>
      </c>
      <c r="I195" s="16">
        <f>IF(COUNTBLANK(G195)=1,"Não executado",IF(ISNUMBER(F195)&lt;&gt;ISNUMBER(G195),"Tipo incompatível",IF(IF(E195="&lt;&gt;",G195&lt;&gt;F195,G195=F195),IF(OR(J195="",K195="",NOT(ISNUMBER(L195)),L195&lt;=0),"Evidência pendente","Compatível"),"Divergente")))</f>
        <v/>
      </c>
      <c r="J195" s="12" t="inlineStr">
        <is>
          <t>etapa8-fluxo/evidencias/comparacao-integrais.json; banco.json; anteriores/liquidacoes.json; anteriores/integracao/integracao.json — isolamento, sem aceite financeiro</t>
        </is>
      </c>
      <c r="K195" s="12" t="inlineStr">
        <is>
          <t>Codex — execução automatizada isolada</t>
        </is>
      </c>
      <c r="L195" s="28" t="n">
        <v>46317.43093657408</v>
      </c>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v>13000000</v>
      </c>
      <c r="H196" s="32">
        <f>IF(AND(ISNUMBER(F196),ISNUMBER(G196)),G196-F196,"")</f>
        <v/>
      </c>
      <c r="I196" s="16">
        <f>IF(COUNTBLANK(G196)=1,"Não executado",IF(ISNUMBER(F196)&lt;&gt;ISNUMBER(G196),"Tipo incompatível",IF(IF(E196="&lt;&gt;",G196&lt;&gt;F196,G196=F196),IF(OR(J196="",K196="",NOT(ISNUMBER(L196)),L196&lt;=0),"Evidência pendente","Compatível"),"Divergente")))</f>
        <v/>
      </c>
      <c r="J196" s="12" t="inlineStr">
        <is>
          <t>etapa8-fluxo/evidencias/comparacao-integrais.json; banco.json; anteriores/liquidacoes.json; anteriores/integracao/integracao.json — isolamento, sem aceite financeiro</t>
        </is>
      </c>
      <c r="K196" s="12" t="inlineStr">
        <is>
          <t>Codex — execução automatizada isolada</t>
        </is>
      </c>
      <c r="L196" s="28" t="n">
        <v>46317.43093657408</v>
      </c>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v>8000000</v>
      </c>
      <c r="H197" s="32">
        <f>IF(AND(ISNUMBER(F197),ISNUMBER(G197)),G197-F197,"")</f>
        <v/>
      </c>
      <c r="I197" s="16">
        <f>IF(COUNTBLANK(G197)=1,"Não executado",IF(ISNUMBER(F197)&lt;&gt;ISNUMBER(G197),"Tipo incompatível",IF(IF(E197="&lt;&gt;",G197&lt;&gt;F197,G197=F197),IF(OR(J197="",K197="",NOT(ISNUMBER(L197)),L197&lt;=0),"Evidência pendente","Compatível"),"Divergente")))</f>
        <v/>
      </c>
      <c r="J197" s="12" t="inlineStr">
        <is>
          <t>etapa8-fluxo/evidencias/comparacao-integrais.json; banco.json; anteriores/liquidacoes.json; anteriores/integracao/integracao.json — isolamento, sem aceite financeiro</t>
        </is>
      </c>
      <c r="K197" s="12" t="inlineStr">
        <is>
          <t>Codex — execução automatizada isolada</t>
        </is>
      </c>
      <c r="L197" s="28" t="n">
        <v>46317.43093657408</v>
      </c>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v>4000000</v>
      </c>
      <c r="H198" s="32">
        <f>IF(AND(ISNUMBER(F198),ISNUMBER(G198)),G198-F198,"")</f>
        <v/>
      </c>
      <c r="I198" s="16">
        <f>IF(COUNTBLANK(G198)=1,"Não executado",IF(ISNUMBER(F198)&lt;&gt;ISNUMBER(G198),"Tipo incompatível",IF(IF(E198="&lt;&gt;",G198&lt;&gt;F198,G198=F198),IF(OR(J198="",K198="",NOT(ISNUMBER(L198)),L198&lt;=0),"Evidência pendente","Compatível"),"Divergente")))</f>
        <v/>
      </c>
      <c r="J198" s="12" t="inlineStr">
        <is>
          <t>etapa8-fluxo/evidencias/comparacao-integrais.json; banco.json; anteriores/liquidacoes.json; anteriores/integracao/integracao.json — isolamento, sem aceite financeiro</t>
        </is>
      </c>
      <c r="K198" s="12" t="inlineStr">
        <is>
          <t>Codex — execução automatizada isolada</t>
        </is>
      </c>
      <c r="L198" s="28" t="n">
        <v>46317.43093657408</v>
      </c>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v>8000000</v>
      </c>
      <c r="H199" s="32">
        <f>IF(AND(ISNUMBER(F199),ISNUMBER(G199)),G199-F199,"")</f>
        <v/>
      </c>
      <c r="I199" s="16">
        <f>IF(COUNTBLANK(G199)=1,"Não executado",IF(ISNUMBER(F199)&lt;&gt;ISNUMBER(G199),"Tipo incompatível",IF(IF(E199="&lt;&gt;",G199&lt;&gt;F199,G199=F199),IF(OR(J199="",K199="",NOT(ISNUMBER(L199)),L199&lt;=0),"Evidência pendente","Compatível"),"Divergente")))</f>
        <v/>
      </c>
      <c r="J199" s="12" t="inlineStr">
        <is>
          <t>etapa8-fluxo/evidencias/comparacao-integrais.json; banco.json; anteriores/liquidacoes.json; anteriores/integracao/integracao.json — isolamento, sem aceite financeiro</t>
        </is>
      </c>
      <c r="K199" s="12" t="inlineStr">
        <is>
          <t>Codex — execução automatizada isolada</t>
        </is>
      </c>
      <c r="L199" s="28" t="n">
        <v>46317.43093657408</v>
      </c>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v>-1000000</v>
      </c>
      <c r="H200" s="32">
        <f>IF(AND(ISNUMBER(F200),ISNUMBER(G200)),G200-F200,"")</f>
        <v/>
      </c>
      <c r="I200" s="16">
        <f>IF(COUNTBLANK(G200)=1,"Não executado",IF(ISNUMBER(F200)&lt;&gt;ISNUMBER(G200),"Tipo incompatível",IF(IF(E200="&lt;&gt;",G200&lt;&gt;F200,G200=F200),IF(OR(J200="",K200="",NOT(ISNUMBER(L200)),L200&lt;=0),"Evidência pendente","Compatível"),"Divergente")))</f>
        <v/>
      </c>
      <c r="J200" s="12" t="inlineStr">
        <is>
          <t>etapa8-fluxo/evidencias/comparacao-integrais.json; banco.json; anteriores/liquidacoes.json; anteriores/integracao/integracao.json — isolamento, sem aceite financeiro</t>
        </is>
      </c>
      <c r="K200" s="12" t="inlineStr">
        <is>
          <t>Codex — execução automatizada isolada</t>
        </is>
      </c>
      <c r="L200" s="28" t="n">
        <v>46317.43093657408</v>
      </c>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v>4000000</v>
      </c>
      <c r="H201" s="32">
        <f>IF(AND(ISNUMBER(F201),ISNUMBER(G201)),G201-F201,"")</f>
        <v/>
      </c>
      <c r="I201" s="16">
        <f>IF(COUNTBLANK(G201)=1,"Não executado",IF(ISNUMBER(F201)&lt;&gt;ISNUMBER(G201),"Tipo incompatível",IF(IF(E201="&lt;&gt;",G201&lt;&gt;F201,G201=F201),IF(OR(J201="",K201="",NOT(ISNUMBER(L201)),L201&lt;=0),"Evidência pendente","Compatível"),"Divergente")))</f>
        <v/>
      </c>
      <c r="J201" s="12" t="inlineStr">
        <is>
          <t>etapa8-fluxo/evidencias/comparacao-integrais.json; banco.json; anteriores/liquidacoes.json; anteriores/integracao/integracao.json — isolamento, sem aceite financeiro</t>
        </is>
      </c>
      <c r="K201" s="12" t="inlineStr">
        <is>
          <t>Codex — execução automatizada isolada</t>
        </is>
      </c>
      <c r="L201" s="28" t="n">
        <v>46317.43093657408</v>
      </c>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v>0</v>
      </c>
      <c r="H202" s="32">
        <f>IF(AND(ISNUMBER(F202),ISNUMBER(G202)),G202-F202,"")</f>
        <v/>
      </c>
      <c r="I202" s="16">
        <f>IF(COUNTBLANK(G202)=1,"Não executado",IF(ISNUMBER(F202)&lt;&gt;ISNUMBER(G202),"Tipo incompatível",IF(IF(E202="&lt;&gt;",G202&lt;&gt;F202,G202=F202),IF(OR(J202="",K202="",NOT(ISNUMBER(L202)),L202&lt;=0),"Evidência pendente","Compatível"),"Divergente")))</f>
        <v/>
      </c>
      <c r="J202" s="12" t="inlineStr">
        <is>
          <t>etapa8-fluxo/evidencias/comparacao-integrais.json; banco.json; anteriores/liquidacoes.json; anteriores/integracao/integracao.json — isolamento, sem aceite financeiro</t>
        </is>
      </c>
      <c r="K202" s="12" t="inlineStr">
        <is>
          <t>Codex — execução automatizada isolada</t>
        </is>
      </c>
      <c r="L202" s="28" t="n">
        <v>46317.43093657408</v>
      </c>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v>3000000</v>
      </c>
      <c r="H203" s="32">
        <f>IF(AND(ISNUMBER(F203),ISNUMBER(G203)),G203-F203,"")</f>
        <v/>
      </c>
      <c r="I203" s="16">
        <f>IF(COUNTBLANK(G203)=1,"Não executado",IF(ISNUMBER(F203)&lt;&gt;ISNUMBER(G203),"Tipo incompatível",IF(IF(E203="&lt;&gt;",G203&lt;&gt;F203,G203=F203),IF(OR(J203="",K203="",NOT(ISNUMBER(L203)),L203&lt;=0),"Evidência pendente","Compatível"),"Divergente")))</f>
        <v/>
      </c>
      <c r="J203" s="12" t="inlineStr">
        <is>
          <t>etapa8-fluxo/evidencias/comparacao-integrais.json; banco.json; anteriores/liquidacoes.json; anteriores/integracao/integracao.json — isolamento, sem aceite financeiro</t>
        </is>
      </c>
      <c r="K203" s="12" t="inlineStr">
        <is>
          <t>Codex — execução automatizada isolada</t>
        </is>
      </c>
      <c r="L203" s="28" t="n">
        <v>46317.43093657408</v>
      </c>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v>2000000</v>
      </c>
      <c r="H204" s="32">
        <f>IF(AND(ISNUMBER(F204),ISNUMBER(G204)),G204-F204,"")</f>
        <v/>
      </c>
      <c r="I204" s="16">
        <f>IF(COUNTBLANK(G204)=1,"Não executado",IF(ISNUMBER(F204)&lt;&gt;ISNUMBER(G204),"Tipo incompatível",IF(IF(E204="&lt;&gt;",G204&lt;&gt;F204,G204=F204),IF(OR(J204="",K204="",NOT(ISNUMBER(L204)),L204&lt;=0),"Evidência pendente","Compatível"),"Divergente")))</f>
        <v/>
      </c>
      <c r="J204" s="12" t="inlineStr">
        <is>
          <t>etapa8-fluxo/evidencias/comparacao-integrais.json; banco.json; anteriores/liquidacoes.json; anteriores/integracao/integracao.json — isolamento, sem aceite financeiro</t>
        </is>
      </c>
      <c r="K204" s="12" t="inlineStr">
        <is>
          <t>Codex — execução automatizada isolada</t>
        </is>
      </c>
      <c r="L204" s="28" t="n">
        <v>46317.43093657408</v>
      </c>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v>6000000</v>
      </c>
      <c r="H205" s="32">
        <f>IF(AND(ISNUMBER(F205),ISNUMBER(G205)),G205-F205,"")</f>
        <v/>
      </c>
      <c r="I205" s="16">
        <f>IF(COUNTBLANK(G205)=1,"Não executado",IF(ISNUMBER(F205)&lt;&gt;ISNUMBER(G205),"Tipo incompatível",IF(IF(E205="&lt;&gt;",G205&lt;&gt;F205,G205=F205),IF(OR(J205="",K205="",NOT(ISNUMBER(L205)),L205&lt;=0),"Evidência pendente","Compatível"),"Divergente")))</f>
        <v/>
      </c>
      <c r="J205" s="12" t="inlineStr">
        <is>
          <t>etapa8-fluxo/evidencias/comparacao-integrais.json; banco.json; anteriores/liquidacoes.json; anteriores/integracao/integracao.json — isolamento, sem aceite financeiro</t>
        </is>
      </c>
      <c r="K205" s="12" t="inlineStr">
        <is>
          <t>Codex — execução automatizada isolada</t>
        </is>
      </c>
      <c r="L205" s="28" t="n">
        <v>46317.43093657408</v>
      </c>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b">
        <v>1</v>
      </c>
      <c r="H206" s="32">
        <f>IF(AND(ISNUMBER(F206),ISNUMBER(G206)),G206-F206,"")</f>
        <v/>
      </c>
      <c r="I206" s="16">
        <f>IF(COUNTBLANK(G206)=1,"Não executado",IF(ISNUMBER(F206)&lt;&gt;ISNUMBER(G206),"Tipo incompatível",IF(IF(E206="&lt;&gt;",G206&lt;&gt;F206,G206=F206),IF(OR(J206="",K206="",NOT(ISNUMBER(L206)),L206&lt;=0),"Evidência pendente","Compatível"),"Divergente")))</f>
        <v/>
      </c>
      <c r="J206" s="12" t="inlineStr">
        <is>
          <t>etapa8-fluxo/evidencias/comparacao-integrais.json; banco.json; anteriores/liquidacoes.json; anteriores/integracao/integracao.json — isolamento, sem aceite financeiro</t>
        </is>
      </c>
      <c r="K206" s="12" t="inlineStr">
        <is>
          <t>Codex — execução automatizada isolada</t>
        </is>
      </c>
      <c r="L206" s="28" t="n">
        <v>46317.43093657408</v>
      </c>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inlineStr">
        <is>
          <t>2026-10-28</t>
        </is>
      </c>
      <c r="H207" s="32">
        <f>IF(AND(ISNUMBER(F207),ISNUMBER(G207)),G207-F207,"")</f>
        <v/>
      </c>
      <c r="I207" s="16">
        <f>IF(COUNTBLANK(G207)=1,"Não executado",IF(ISNUMBER(F207)&lt;&gt;ISNUMBER(G207),"Tipo incompatível",IF(IF(E207="&lt;&gt;",G207&lt;&gt;F207,G207=F207),IF(OR(J207="",K207="",NOT(ISNUMBER(L207)),L207&lt;=0),"Evidência pendente","Compatível"),"Divergente")))</f>
        <v/>
      </c>
      <c r="J207" s="12" t="inlineStr">
        <is>
          <t>etapa8-fluxo/evidencias/comparacao-integrais.json; banco.json; anteriores/liquidacoes.json; anteriores/integracao/integracao.json — isolamento, sem aceite financeiro</t>
        </is>
      </c>
      <c r="K207" s="12" t="inlineStr">
        <is>
          <t>Codex — execução automatizada isolada</t>
        </is>
      </c>
      <c r="L207" s="28" t="n">
        <v>46317.43093657408</v>
      </c>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inlineStr">
        <is>
          <t>2026-10-25</t>
        </is>
      </c>
      <c r="H208" s="32">
        <f>IF(AND(ISNUMBER(F208),ISNUMBER(G208)),G208-F208,"")</f>
        <v/>
      </c>
      <c r="I208" s="16">
        <f>IF(COUNTBLANK(G208)=1,"Não executado",IF(ISNUMBER(F208)&lt;&gt;ISNUMBER(G208),"Tipo incompatível",IF(IF(E208="&lt;&gt;",G208&lt;&gt;F208,G208=F208),IF(OR(J208="",K208="",NOT(ISNUMBER(L208)),L208&lt;=0),"Evidência pendente","Compatível"),"Divergente")))</f>
        <v/>
      </c>
      <c r="J208" s="12" t="inlineStr">
        <is>
          <t>etapa8-fluxo/evidencias/comparacao-integrais.json; banco.json; anteriores/liquidacoes.json; anteriores/integracao/integracao.json — isolamento, sem aceite financeiro</t>
        </is>
      </c>
      <c r="K208" s="12" t="inlineStr">
        <is>
          <t>Codex — execução automatizada isolada</t>
        </is>
      </c>
      <c r="L208" s="28" t="n">
        <v>46317.43093657408</v>
      </c>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inlineStr">
        <is>
          <t>2026-11-15</t>
        </is>
      </c>
      <c r="H209" s="32">
        <f>IF(AND(ISNUMBER(F209),ISNUMBER(G209)),G209-F209,"")</f>
        <v/>
      </c>
      <c r="I209" s="16">
        <f>IF(COUNTBLANK(G209)=1,"Não executado",IF(ISNUMBER(F209)&lt;&gt;ISNUMBER(G209),"Tipo incompatível",IF(IF(E209="&lt;&gt;",G209&lt;&gt;F209,G209=F209),IF(OR(J209="",K209="",NOT(ISNUMBER(L209)),L209&lt;=0),"Evidência pendente","Compatível"),"Divergente")))</f>
        <v/>
      </c>
      <c r="J209" s="12" t="inlineStr">
        <is>
          <t>etapa8-fluxo/evidencias/comparacao-integrais.json; banco.json; anteriores/liquidacoes.json; anteriores/integracao/integracao.json — isolamento, sem aceite financeiro</t>
        </is>
      </c>
      <c r="K209" s="12" t="inlineStr">
        <is>
          <t>Codex — execução automatizada isolada</t>
        </is>
      </c>
      <c r="L209" s="28" t="n">
        <v>46317.43093657408</v>
      </c>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v>2000000</v>
      </c>
      <c r="H210" s="32">
        <f>IF(AND(ISNUMBER(F210),ISNUMBER(G210)),G210-F210,"")</f>
        <v/>
      </c>
      <c r="I210" s="16">
        <f>IF(COUNTBLANK(G210)=1,"Não executado",IF(ISNUMBER(F210)&lt;&gt;ISNUMBER(G210),"Tipo incompatível",IF(IF(E210="&lt;&gt;",G210&lt;&gt;F210,G210=F210),IF(OR(J210="",K210="",NOT(ISNUMBER(L210)),L210&lt;=0),"Evidência pendente","Compatível"),"Divergente")))</f>
        <v/>
      </c>
      <c r="J210" s="12" t="inlineStr">
        <is>
          <t>etapa8-fluxo/evidencias/comparacao-integrais.json; banco.json; anteriores/liquidacoes.json; anteriores/integracao/integracao.json — isolamento, sem aceite financeiro</t>
        </is>
      </c>
      <c r="K210" s="12" t="inlineStr">
        <is>
          <t>Codex — execução automatizada isolada</t>
        </is>
      </c>
      <c r="L210" s="28" t="n">
        <v>46317.43093657408</v>
      </c>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v>2000000</v>
      </c>
      <c r="H211" s="32">
        <f>IF(AND(ISNUMBER(F211),ISNUMBER(G211)),G211-F211,"")</f>
        <v/>
      </c>
      <c r="I211" s="16">
        <f>IF(COUNTBLANK(G211)=1,"Não executado",IF(ISNUMBER(F211)&lt;&gt;ISNUMBER(G211),"Tipo incompatível",IF(IF(E211="&lt;&gt;",G211&lt;&gt;F211,G211=F211),IF(OR(J211="",K211="",NOT(ISNUMBER(L211)),L211&lt;=0),"Evidência pendente","Compatível"),"Divergente")))</f>
        <v/>
      </c>
      <c r="J211" s="12" t="inlineStr">
        <is>
          <t>etapa8-fluxo/evidencias/comparacao-integrais.json; banco.json; anteriores/liquidacoes.json; anteriores/integracao/integracao.json — isolamento, sem aceite financeiro</t>
        </is>
      </c>
      <c r="K211" s="12" t="inlineStr">
        <is>
          <t>Codex — execução automatizada isolada</t>
        </is>
      </c>
      <c r="L211" s="28" t="n">
        <v>46317.43093657408</v>
      </c>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v>0</v>
      </c>
      <c r="H212" s="32">
        <f>IF(AND(ISNUMBER(F212),ISNUMBER(G212)),G212-F212,"")</f>
        <v/>
      </c>
      <c r="I212" s="16">
        <f>IF(COUNTBLANK(G212)=1,"Não executado",IF(ISNUMBER(F212)&lt;&gt;ISNUMBER(G212),"Tipo incompatível",IF(IF(E212="&lt;&gt;",G212&lt;&gt;F212,G212=F212),IF(OR(J212="",K212="",NOT(ISNUMBER(L212)),L212&lt;=0),"Evidência pendente","Compatível"),"Divergente")))</f>
        <v/>
      </c>
      <c r="J212" s="12" t="inlineStr">
        <is>
          <t>etapa8-fluxo/evidencias/comparacao-integrais.json; banco.json; anteriores/liquidacoes.json; anteriores/integracao/integracao.json — isolamento, sem aceite financeiro</t>
        </is>
      </c>
      <c r="K212" s="12" t="inlineStr">
        <is>
          <t>Codex — execução automatizada isolada</t>
        </is>
      </c>
      <c r="L212" s="28" t="n">
        <v>46317.43093657408</v>
      </c>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v>12000000</v>
      </c>
      <c r="H213" s="32">
        <f>IF(AND(ISNUMBER(F213),ISNUMBER(G213)),G213-F213,"")</f>
        <v/>
      </c>
      <c r="I213" s="16">
        <f>IF(COUNTBLANK(G213)=1,"Não executado",IF(ISNUMBER(F213)&lt;&gt;ISNUMBER(G213),"Tipo incompatível",IF(IF(E213="&lt;&gt;",G213&lt;&gt;F213,G213=F213),IF(OR(J213="",K213="",NOT(ISNUMBER(L213)),L213&lt;=0),"Evidência pendente","Compatível"),"Divergente")))</f>
        <v/>
      </c>
      <c r="J213" s="12" t="inlineStr">
        <is>
          <t>etapa8-fluxo/evidencias/comparacao-integrais.json; banco.json; anteriores/liquidacoes.json; anteriores/integracao/integracao.json — isolamento, sem aceite financeiro</t>
        </is>
      </c>
      <c r="K213" s="12" t="inlineStr">
        <is>
          <t>Codex — execução automatizada isolada</t>
        </is>
      </c>
      <c r="L213" s="28" t="n">
        <v>46317.43093657408</v>
      </c>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v>0</v>
      </c>
      <c r="H214" s="29">
        <f>IF(AND(ISNUMBER(F214),ISNUMBER(G214)),G214-F214,"")</f>
        <v/>
      </c>
      <c r="I214" s="20">
        <f>IF(COUNTBLANK(G214)=1,"Não executado",IF(ISNUMBER(F214)&lt;&gt;ISNUMBER(G214),"Tipo incompatível",IF(IF(E214="&lt;&gt;",G214&lt;&gt;F214,G214=F214),IF(OR(J214="",K214="",NOT(ISNUMBER(L214)),L214&lt;=0),"Evidência pendente","Compatível"),"Divergente")))</f>
        <v/>
      </c>
      <c r="J214" s="23" t="inlineStr">
        <is>
          <t>etapa12-parciais/evidencias/comparacao-4.json; banco.json; registros.json; servidor-tela-acoes.log — fictício, sem aceite financeiro</t>
        </is>
      </c>
      <c r="K214" s="23" t="inlineStr">
        <is>
          <t>Codex — execução automatizada isolada; não responsável financeiro</t>
        </is>
      </c>
      <c r="L214" s="31" t="n">
        <v>46317.64012649305</v>
      </c>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v>0</v>
      </c>
      <c r="H215" s="32">
        <f>IF(AND(ISNUMBER(F215),ISNUMBER(G215)),G215-F215,"")</f>
        <v/>
      </c>
      <c r="I215" s="16">
        <f>IF(COUNTBLANK(G215)=1,"Não executado",IF(ISNUMBER(F215)&lt;&gt;ISNUMBER(G215),"Tipo incompatível",IF(IF(E215="&lt;&gt;",G215&lt;&gt;F215,G215=F215),IF(OR(J215="",K215="",NOT(ISNUMBER(L215)),L215&lt;=0),"Evidência pendente","Compatível"),"Divergente")))</f>
        <v/>
      </c>
      <c r="J215" s="12" t="inlineStr">
        <is>
          <t>etapa12-parciais/evidencias/comparacao-4.json; banco.json; registros.json; servidor-tela-acoes.log — fictício, sem aceite financeiro</t>
        </is>
      </c>
      <c r="K215" s="12" t="inlineStr">
        <is>
          <t>Codex — execução automatizada isolada; não responsável financeiro</t>
        </is>
      </c>
      <c r="L215" s="28" t="n">
        <v>46317.64012649305</v>
      </c>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v>10000000</v>
      </c>
      <c r="H216" s="32">
        <f>IF(AND(ISNUMBER(F216),ISNUMBER(G216)),G216-F216,"")</f>
        <v/>
      </c>
      <c r="I216" s="16">
        <f>IF(COUNTBLANK(G216)=1,"Não executado",IF(ISNUMBER(F216)&lt;&gt;ISNUMBER(G216),"Tipo incompatível",IF(IF(E216="&lt;&gt;",G216&lt;&gt;F216,G216=F216),IF(OR(J216="",K216="",NOT(ISNUMBER(L216)),L216&lt;=0),"Evidência pendente","Compatível"),"Divergente")))</f>
        <v/>
      </c>
      <c r="J216" s="12" t="inlineStr">
        <is>
          <t>etapa12-parciais/evidencias/comparacao-4.json; banco.json; registros.json; servidor-tela-acoes.log — fictício, sem aceite financeiro</t>
        </is>
      </c>
      <c r="K216" s="12" t="inlineStr">
        <is>
          <t>Codex — execução automatizada isolada; não responsável financeiro</t>
        </is>
      </c>
      <c r="L216" s="28" t="n">
        <v>46317.64012649305</v>
      </c>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v>10000000</v>
      </c>
      <c r="H217" s="32">
        <f>IF(AND(ISNUMBER(F217),ISNUMBER(G217)),G217-F217,"")</f>
        <v/>
      </c>
      <c r="I217" s="16">
        <f>IF(COUNTBLANK(G217)=1,"Não executado",IF(ISNUMBER(F217)&lt;&gt;ISNUMBER(G217),"Tipo incompatível",IF(IF(E217="&lt;&gt;",G217&lt;&gt;F217,G217=F217),IF(OR(J217="",K217="",NOT(ISNUMBER(L217)),L217&lt;=0),"Evidência pendente","Compatível"),"Divergente")))</f>
        <v/>
      </c>
      <c r="J217" s="12" t="inlineStr">
        <is>
          <t>etapa12-parciais/evidencias/comparacao-4.json; banco.json; registros.json; servidor-tela-acoes.log — fictício, sem aceite financeiro</t>
        </is>
      </c>
      <c r="K217" s="12" t="inlineStr">
        <is>
          <t>Codex — execução automatizada isolada; não responsável financeiro</t>
        </is>
      </c>
      <c r="L217" s="28" t="n">
        <v>46317.64012649305</v>
      </c>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v>0</v>
      </c>
      <c r="H218" s="32">
        <f>IF(AND(ISNUMBER(F218),ISNUMBER(G218)),G218-F218,"")</f>
        <v/>
      </c>
      <c r="I218" s="16">
        <f>IF(COUNTBLANK(G218)=1,"Não executado",IF(ISNUMBER(F218)&lt;&gt;ISNUMBER(G218),"Tipo incompatível",IF(IF(E218="&lt;&gt;",G218&lt;&gt;F218,G218=F218),IF(OR(J218="",K218="",NOT(ISNUMBER(L218)),L218&lt;=0),"Evidência pendente","Compatível"),"Divergente")))</f>
        <v/>
      </c>
      <c r="J218" s="12" t="inlineStr">
        <is>
          <t>etapa12-parciais/evidencias/comparacao-4.json; banco.json; registros.json; servidor-tela-acoes.log — fictício, sem aceite financeiro</t>
        </is>
      </c>
      <c r="K218" s="12" t="inlineStr">
        <is>
          <t>Codex — execução automatizada isolada; não responsável financeiro</t>
        </is>
      </c>
      <c r="L218" s="28" t="n">
        <v>46317.64012649305</v>
      </c>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v>0</v>
      </c>
      <c r="H219" s="32">
        <f>IF(AND(ISNUMBER(F219),ISNUMBER(G219)),G219-F219,"")</f>
        <v/>
      </c>
      <c r="I219" s="16">
        <f>IF(COUNTBLANK(G219)=1,"Não executado",IF(ISNUMBER(F219)&lt;&gt;ISNUMBER(G219),"Tipo incompatível",IF(IF(E219="&lt;&gt;",G219&lt;&gt;F219,G219=F219),IF(OR(J219="",K219="",NOT(ISNUMBER(L219)),L219&lt;=0),"Evidência pendente","Compatível"),"Divergente")))</f>
        <v/>
      </c>
      <c r="J219" s="12" t="inlineStr">
        <is>
          <t>etapa12-parciais/evidencias/comparacao-4.json; banco.json; registros.json; servidor-tela-acoes.log — fictício, sem aceite financeiro</t>
        </is>
      </c>
      <c r="K219" s="12" t="inlineStr">
        <is>
          <t>Codex — execução automatizada isolada; não responsável financeiro</t>
        </is>
      </c>
      <c r="L219" s="28" t="n">
        <v>46317.64012649305</v>
      </c>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v>6000000</v>
      </c>
      <c r="H220" s="32">
        <f>IF(AND(ISNUMBER(F220),ISNUMBER(G220)),G220-F220,"")</f>
        <v/>
      </c>
      <c r="I220" s="16">
        <f>IF(COUNTBLANK(G220)=1,"Não executado",IF(ISNUMBER(F220)&lt;&gt;ISNUMBER(G220),"Tipo incompatível",IF(IF(E220="&lt;&gt;",G220&lt;&gt;F220,G220=F220),IF(OR(J220="",K220="",NOT(ISNUMBER(L220)),L220&lt;=0),"Evidência pendente","Compatível"),"Divergente")))</f>
        <v/>
      </c>
      <c r="J220" s="12" t="inlineStr">
        <is>
          <t>etapa12-parciais/evidencias/comparacao-4.json; banco.json; registros.json; servidor-tela-acoes.log — fictício, sem aceite financeiro</t>
        </is>
      </c>
      <c r="K220" s="12" t="inlineStr">
        <is>
          <t>Codex — execução automatizada isolada; não responsável financeiro</t>
        </is>
      </c>
      <c r="L220" s="28" t="n">
        <v>46317.64012649305</v>
      </c>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v>4000000</v>
      </c>
      <c r="H221" s="32">
        <f>IF(AND(ISNUMBER(F221),ISNUMBER(G221)),G221-F221,"")</f>
        <v/>
      </c>
      <c r="I221" s="16">
        <f>IF(COUNTBLANK(G221)=1,"Não executado",IF(ISNUMBER(F221)&lt;&gt;ISNUMBER(G221),"Tipo incompatível",IF(IF(E221="&lt;&gt;",G221&lt;&gt;F221,G221=F221),IF(OR(J221="",K221="",NOT(ISNUMBER(L221)),L221&lt;=0),"Evidência pendente","Compatível"),"Divergente")))</f>
        <v/>
      </c>
      <c r="J221" s="12" t="inlineStr">
        <is>
          <t>etapa12-parciais/evidencias/comparacao-4.json; banco.json; registros.json; servidor-tela-acoes.log — fictício, sem aceite financeiro</t>
        </is>
      </c>
      <c r="K221" s="12" t="inlineStr">
        <is>
          <t>Codex — execução automatizada isolada; não responsável financeiro</t>
        </is>
      </c>
      <c r="L221" s="28" t="n">
        <v>46317.64012649305</v>
      </c>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v>10000000</v>
      </c>
      <c r="H222" s="32">
        <f>IF(AND(ISNUMBER(F222),ISNUMBER(G222)),G222-F222,"")</f>
        <v/>
      </c>
      <c r="I222" s="16">
        <f>IF(COUNTBLANK(G222)=1,"Não executado",IF(ISNUMBER(F222)&lt;&gt;ISNUMBER(G222),"Tipo incompatível",IF(IF(E222="&lt;&gt;",G222&lt;&gt;F222,G222=F222),IF(OR(J222="",K222="",NOT(ISNUMBER(L222)),L222&lt;=0),"Evidência pendente","Compatível"),"Divergente")))</f>
        <v/>
      </c>
      <c r="J222" s="12" t="inlineStr">
        <is>
          <t>etapa12-parciais/evidencias/comparacao-4.json; banco.json; registros.json; servidor-tela-acoes.log — fictício, sem aceite financeiro</t>
        </is>
      </c>
      <c r="K222" s="12" t="inlineStr">
        <is>
          <t>Codex — execução automatizada isolada; não responsável financeiro</t>
        </is>
      </c>
      <c r="L222" s="28" t="n">
        <v>46317.64012649305</v>
      </c>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v>0</v>
      </c>
      <c r="H223" s="32">
        <f>IF(AND(ISNUMBER(F223),ISNUMBER(G223)),G223-F223,"")</f>
        <v/>
      </c>
      <c r="I223" s="16">
        <f>IF(COUNTBLANK(G223)=1,"Não executado",IF(ISNUMBER(F223)&lt;&gt;ISNUMBER(G223),"Tipo incompatível",IF(IF(E223="&lt;&gt;",G223&lt;&gt;F223,G223=F223),IF(OR(J223="",K223="",NOT(ISNUMBER(L223)),L223&lt;=0),"Evidência pendente","Compatível"),"Divergente")))</f>
        <v/>
      </c>
      <c r="J223" s="12" t="inlineStr">
        <is>
          <t>etapa12-parciais/evidencias/comparacao-4.json; banco.json; registros.json; servidor-tela-acoes.log — fictício, sem aceite financeiro</t>
        </is>
      </c>
      <c r="K223" s="12" t="inlineStr">
        <is>
          <t>Codex — execução automatizada isolada; não responsável financeiro</t>
        </is>
      </c>
      <c r="L223" s="28" t="n">
        <v>46317.64012649305</v>
      </c>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v>2000000</v>
      </c>
      <c r="H224" s="32">
        <f>IF(AND(ISNUMBER(F224),ISNUMBER(G224)),G224-F224,"")</f>
        <v/>
      </c>
      <c r="I224" s="16">
        <f>IF(COUNTBLANK(G224)=1,"Não executado",IF(ISNUMBER(F224)&lt;&gt;ISNUMBER(G224),"Tipo incompatível",IF(IF(E224="&lt;&gt;",G224&lt;&gt;F224,G224=F224),IF(OR(J224="",K224="",NOT(ISNUMBER(L224)),L224&lt;=0),"Evidência pendente","Compatível"),"Divergente")))</f>
        <v/>
      </c>
      <c r="J224" s="12" t="inlineStr">
        <is>
          <t>etapa12-parciais/evidencias/comparacao-4.json; banco.json; registros.json; servidor-tela-acoes.log — fictício, sem aceite financeiro</t>
        </is>
      </c>
      <c r="K224" s="12" t="inlineStr">
        <is>
          <t>Codex — execução automatizada isolada; não responsável financeiro</t>
        </is>
      </c>
      <c r="L224" s="28" t="n">
        <v>46317.64012649305</v>
      </c>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v>4000000</v>
      </c>
      <c r="H225" s="32">
        <f>IF(AND(ISNUMBER(F225),ISNUMBER(G225)),G225-F225,"")</f>
        <v/>
      </c>
      <c r="I225" s="16">
        <f>IF(COUNTBLANK(G225)=1,"Não executado",IF(ISNUMBER(F225)&lt;&gt;ISNUMBER(G225),"Tipo incompatível",IF(IF(E225="&lt;&gt;",G225&lt;&gt;F225,G225=F225),IF(OR(J225="",K225="",NOT(ISNUMBER(L225)),L225&lt;=0),"Evidência pendente","Compatível"),"Divergente")))</f>
        <v/>
      </c>
      <c r="J225" s="12" t="inlineStr">
        <is>
          <t>etapa12-parciais/evidencias/comparacao-4.json; banco.json; registros.json; servidor-tela-acoes.log — fictício, sem aceite financeiro</t>
        </is>
      </c>
      <c r="K225" s="12" t="inlineStr">
        <is>
          <t>Codex — execução automatizada isolada; não responsável financeiro</t>
        </is>
      </c>
      <c r="L225" s="28" t="n">
        <v>46317.64012649305</v>
      </c>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v>4000000</v>
      </c>
      <c r="H226" s="32">
        <f>IF(AND(ISNUMBER(F226),ISNUMBER(G226)),G226-F226,"")</f>
        <v/>
      </c>
      <c r="I226" s="16">
        <f>IF(COUNTBLANK(G226)=1,"Não executado",IF(ISNUMBER(F226)&lt;&gt;ISNUMBER(G226),"Tipo incompatível",IF(IF(E226="&lt;&gt;",G226&lt;&gt;F226,G226=F226),IF(OR(J226="",K226="",NOT(ISNUMBER(L226)),L226&lt;=0),"Evidência pendente","Compatível"),"Divergente")))</f>
        <v/>
      </c>
      <c r="J226" s="12" t="inlineStr">
        <is>
          <t>etapa12-parciais/evidencias/comparacao-4.json; banco.json; registros.json; servidor-tela-acoes.log — fictício, sem aceite financeiro</t>
        </is>
      </c>
      <c r="K226" s="12" t="inlineStr">
        <is>
          <t>Codex — execução automatizada isolada; não responsável financeiro</t>
        </is>
      </c>
      <c r="L226" s="28" t="n">
        <v>46317.64012649305</v>
      </c>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v>10000000</v>
      </c>
      <c r="H227" s="32">
        <f>IF(AND(ISNUMBER(F227),ISNUMBER(G227)),G227-F227,"")</f>
        <v/>
      </c>
      <c r="I227" s="16">
        <f>IF(COUNTBLANK(G227)=1,"Não executado",IF(ISNUMBER(F227)&lt;&gt;ISNUMBER(G227),"Tipo incompatível",IF(IF(E227="&lt;&gt;",G227&lt;&gt;F227,G227=F227),IF(OR(J227="",K227="",NOT(ISNUMBER(L227)),L227&lt;=0),"Evidência pendente","Compatível"),"Divergente")))</f>
        <v/>
      </c>
      <c r="J227" s="12" t="inlineStr">
        <is>
          <t>etapa12-parciais/evidencias/comparacao-4.json; banco.json; registros.json; servidor-tela-acoes.log — fictício, sem aceite financeiro</t>
        </is>
      </c>
      <c r="K227" s="12" t="inlineStr">
        <is>
          <t>Codex — execução automatizada isolada; não responsável financeiro</t>
        </is>
      </c>
      <c r="L227" s="28" t="n">
        <v>46317.64012649305</v>
      </c>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v>0</v>
      </c>
      <c r="H228" s="32">
        <f>IF(AND(ISNUMBER(F228),ISNUMBER(G228)),G228-F228,"")</f>
        <v/>
      </c>
      <c r="I228" s="16">
        <f>IF(COUNTBLANK(G228)=1,"Não executado",IF(ISNUMBER(F228)&lt;&gt;ISNUMBER(G228),"Tipo incompatível",IF(IF(E228="&lt;&gt;",G228&lt;&gt;F228,G228=F228),IF(OR(J228="",K228="",NOT(ISNUMBER(L228)),L228&lt;=0),"Evidência pendente","Compatível"),"Divergente")))</f>
        <v/>
      </c>
      <c r="J228" s="12" t="inlineStr">
        <is>
          <t>etapa12-parciais/evidencias/comparacao-4.json; banco.json; registros.json; servidor-tela-acoes.log — fictício, sem aceite financeiro</t>
        </is>
      </c>
      <c r="K228" s="12" t="inlineStr">
        <is>
          <t>Codex — execução automatizada isolada; não responsável financeiro</t>
        </is>
      </c>
      <c r="L228" s="28" t="n">
        <v>46317.64012649305</v>
      </c>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v>1500000</v>
      </c>
      <c r="H229" s="32">
        <f>IF(AND(ISNUMBER(F229),ISNUMBER(G229)),G229-F229,"")</f>
        <v/>
      </c>
      <c r="I229" s="16">
        <f>IF(COUNTBLANK(G229)=1,"Não executado",IF(ISNUMBER(F229)&lt;&gt;ISNUMBER(G229),"Tipo incompatível",IF(IF(E229="&lt;&gt;",G229&lt;&gt;F229,G229=F229),IF(OR(J229="",K229="",NOT(ISNUMBER(L229)),L229&lt;=0),"Evidência pendente","Compatível"),"Divergente")))</f>
        <v/>
      </c>
      <c r="J229" s="12" t="inlineStr">
        <is>
          <t>etapa12-parciais/evidencias/comparacao-4.json; banco.json; registros.json; servidor-tela-acoes.log — fictício, sem aceite financeiro</t>
        </is>
      </c>
      <c r="K229" s="12" t="inlineStr">
        <is>
          <t>Codex — execução automatizada isolada; não responsável financeiro</t>
        </is>
      </c>
      <c r="L229" s="28" t="n">
        <v>46317.64012649305</v>
      </c>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v>4000000</v>
      </c>
      <c r="H230" s="32">
        <f>IF(AND(ISNUMBER(F230),ISNUMBER(G230)),G230-F230,"")</f>
        <v/>
      </c>
      <c r="I230" s="16">
        <f>IF(COUNTBLANK(G230)=1,"Não executado",IF(ISNUMBER(F230)&lt;&gt;ISNUMBER(G230),"Tipo incompatível",IF(IF(E230="&lt;&gt;",G230&lt;&gt;F230,G230=F230),IF(OR(J230="",K230="",NOT(ISNUMBER(L230)),L230&lt;=0),"Evidência pendente","Compatível"),"Divergente")))</f>
        <v/>
      </c>
      <c r="J230" s="12" t="inlineStr">
        <is>
          <t>etapa12-parciais/evidencias/comparacao-4.json; banco.json; registros.json; servidor-tela-acoes.log — fictício, sem aceite financeiro</t>
        </is>
      </c>
      <c r="K230" s="12" t="inlineStr">
        <is>
          <t>Codex — execução automatizada isolada; não responsável financeiro</t>
        </is>
      </c>
      <c r="L230" s="28" t="n">
        <v>46317.64012649305</v>
      </c>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v>4000000</v>
      </c>
      <c r="H231" s="32">
        <f>IF(AND(ISNUMBER(F231),ISNUMBER(G231)),G231-F231,"")</f>
        <v/>
      </c>
      <c r="I231" s="16">
        <f>IF(COUNTBLANK(G231)=1,"Não executado",IF(ISNUMBER(F231)&lt;&gt;ISNUMBER(G231),"Tipo incompatível",IF(IF(E231="&lt;&gt;",G231&lt;&gt;F231,G231=F231),IF(OR(J231="",K231="",NOT(ISNUMBER(L231)),L231&lt;=0),"Evidência pendente","Compatível"),"Divergente")))</f>
        <v/>
      </c>
      <c r="J231" s="12" t="inlineStr">
        <is>
          <t>etapa12-parciais/evidencias/comparacao-4.json; banco.json; registros.json; servidor-tela-acoes.log — fictício, sem aceite financeiro</t>
        </is>
      </c>
      <c r="K231" s="12" t="inlineStr">
        <is>
          <t>Codex — execução automatizada isolada; não responsável financeiro</t>
        </is>
      </c>
      <c r="L231" s="28" t="n">
        <v>46317.64012649305</v>
      </c>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v>9500000</v>
      </c>
      <c r="H232" s="32">
        <f>IF(AND(ISNUMBER(F232),ISNUMBER(G232)),G232-F232,"")</f>
        <v/>
      </c>
      <c r="I232" s="16">
        <f>IF(COUNTBLANK(G232)=1,"Não executado",IF(ISNUMBER(F232)&lt;&gt;ISNUMBER(G232),"Tipo incompatível",IF(IF(E232="&lt;&gt;",G232&lt;&gt;F232,G232=F232),IF(OR(J232="",K232="",NOT(ISNUMBER(L232)),L232&lt;=0),"Evidência pendente","Compatível"),"Divergente")))</f>
        <v/>
      </c>
      <c r="J232" s="12" t="inlineStr">
        <is>
          <t>etapa12-parciais/evidencias/comparacao-4.json; banco.json; registros.json; servidor-tela-acoes.log — fictício, sem aceite financeiro</t>
        </is>
      </c>
      <c r="K232" s="12" t="inlineStr">
        <is>
          <t>Codex — execução automatizada isolada; não responsável financeiro</t>
        </is>
      </c>
      <c r="L232" s="28" t="n">
        <v>46317.64012649305</v>
      </c>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v>0</v>
      </c>
      <c r="H233" s="32">
        <f>IF(AND(ISNUMBER(F233),ISNUMBER(G233)),G233-F233,"")</f>
        <v/>
      </c>
      <c r="I233" s="16">
        <f>IF(COUNTBLANK(G233)=1,"Não executado",IF(ISNUMBER(F233)&lt;&gt;ISNUMBER(G233),"Tipo incompatível",IF(IF(E233="&lt;&gt;",G233&lt;&gt;F233,G233=F233),IF(OR(J233="",K233="",NOT(ISNUMBER(L233)),L233&lt;=0),"Evidência pendente","Compatível"),"Divergente")))</f>
        <v/>
      </c>
      <c r="J233" s="12" t="inlineStr">
        <is>
          <t>etapa12-parciais/evidencias/comparacao-4.json; banco.json; registros.json; servidor-tela-acoes.log — fictício, sem aceite financeiro</t>
        </is>
      </c>
      <c r="K233" s="12" t="inlineStr">
        <is>
          <t>Codex — execução automatizada isolada; não responsável financeiro</t>
        </is>
      </c>
      <c r="L233" s="28" t="n">
        <v>46317.64012649305</v>
      </c>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v>1500000</v>
      </c>
      <c r="H234" s="32">
        <f>IF(AND(ISNUMBER(F234),ISNUMBER(G234)),G234-F234,"")</f>
        <v/>
      </c>
      <c r="I234" s="16">
        <f>IF(COUNTBLANK(G234)=1,"Não executado",IF(ISNUMBER(F234)&lt;&gt;ISNUMBER(G234),"Tipo incompatível",IF(IF(E234="&lt;&gt;",G234&lt;&gt;F234,G234=F234),IF(OR(J234="",K234="",NOT(ISNUMBER(L234)),L234&lt;=0),"Evidência pendente","Compatível"),"Divergente")))</f>
        <v/>
      </c>
      <c r="J234" s="12" t="inlineStr">
        <is>
          <t>etapa12-parciais/evidencias/comparacao-4.json; banco.json; registros.json; servidor-tela-acoes.log — fictício, sem aceite financeiro</t>
        </is>
      </c>
      <c r="K234" s="12" t="inlineStr">
        <is>
          <t>Codex — execução automatizada isolada; não responsável financeiro</t>
        </is>
      </c>
      <c r="L234" s="28" t="n">
        <v>46317.64012649305</v>
      </c>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v>4000000</v>
      </c>
      <c r="H235" s="32">
        <f>IF(AND(ISNUMBER(F235),ISNUMBER(G235)),G235-F235,"")</f>
        <v/>
      </c>
      <c r="I235" s="16">
        <f>IF(COUNTBLANK(G235)=1,"Não executado",IF(ISNUMBER(F235)&lt;&gt;ISNUMBER(G235),"Tipo incompatível",IF(IF(E235="&lt;&gt;",G235&lt;&gt;F235,G235=F235),IF(OR(J235="",K235="",NOT(ISNUMBER(L235)),L235&lt;=0),"Evidência pendente","Compatível"),"Divergente")))</f>
        <v/>
      </c>
      <c r="J235" s="12" t="inlineStr">
        <is>
          <t>etapa12-parciais/evidencias/comparacao-4.json; banco.json; registros.json; servidor-tela-acoes.log — fictício, sem aceite financeiro</t>
        </is>
      </c>
      <c r="K235" s="12" t="inlineStr">
        <is>
          <t>Codex — execução automatizada isolada; não responsável financeiro</t>
        </is>
      </c>
      <c r="L235" s="28" t="n">
        <v>46317.64012649305</v>
      </c>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v>4000000</v>
      </c>
      <c r="H236" s="32">
        <f>IF(AND(ISNUMBER(F236),ISNUMBER(G236)),G236-F236,"")</f>
        <v/>
      </c>
      <c r="I236" s="16">
        <f>IF(COUNTBLANK(G236)=1,"Não executado",IF(ISNUMBER(F236)&lt;&gt;ISNUMBER(G236),"Tipo incompatível",IF(IF(E236="&lt;&gt;",G236&lt;&gt;F236,G236=F236),IF(OR(J236="",K236="",NOT(ISNUMBER(L236)),L236&lt;=0),"Evidência pendente","Compatível"),"Divergente")))</f>
        <v/>
      </c>
      <c r="J236" s="12" t="inlineStr">
        <is>
          <t>etapa12-parciais/evidencias/comparacao-4.json; banco.json; registros.json; servidor-tela-acoes.log — fictício, sem aceite financeiro</t>
        </is>
      </c>
      <c r="K236" s="12" t="inlineStr">
        <is>
          <t>Codex — execução automatizada isolada; não responsável financeiro</t>
        </is>
      </c>
      <c r="L236" s="28" t="n">
        <v>46317.64012649305</v>
      </c>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v>9500000</v>
      </c>
      <c r="H237" s="32">
        <f>IF(AND(ISNUMBER(F237),ISNUMBER(G237)),G237-F237,"")</f>
        <v/>
      </c>
      <c r="I237" s="16">
        <f>IF(COUNTBLANK(G237)=1,"Não executado",IF(ISNUMBER(F237)&lt;&gt;ISNUMBER(G237),"Tipo incompatível",IF(IF(E237="&lt;&gt;",G237&lt;&gt;F237,G237=F237),IF(OR(J237="",K237="",NOT(ISNUMBER(L237)),L237&lt;=0),"Evidência pendente","Compatível"),"Divergente")))</f>
        <v/>
      </c>
      <c r="J237" s="12" t="inlineStr">
        <is>
          <t>etapa12-parciais/evidencias/comparacao-4.json; banco.json; registros.json; servidor-tela-acoes.log — fictício, sem aceite financeiro</t>
        </is>
      </c>
      <c r="K237" s="12" t="inlineStr">
        <is>
          <t>Codex — execução automatizada isolada; não responsável financeiro</t>
        </is>
      </c>
      <c r="L237" s="28" t="n">
        <v>46317.64012649305</v>
      </c>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v>200000</v>
      </c>
      <c r="H238" s="32">
        <f>IF(AND(ISNUMBER(F238),ISNUMBER(G238)),G238-F238,"")</f>
        <v/>
      </c>
      <c r="I238" s="16">
        <f>IF(COUNTBLANK(G238)=1,"Não executado",IF(ISNUMBER(F238)&lt;&gt;ISNUMBER(G238),"Tipo incompatível",IF(IF(E238="&lt;&gt;",G238&lt;&gt;F238,G238=F238),IF(OR(J238="",K238="",NOT(ISNUMBER(L238)),L238&lt;=0),"Evidência pendente","Compatível"),"Divergente")))</f>
        <v/>
      </c>
      <c r="J238" s="12" t="inlineStr">
        <is>
          <t>etapa12-parciais/evidencias/comparacao-4.json; banco.json; registros.json; servidor-tela-acoes.log — fictício, sem aceite financeiro</t>
        </is>
      </c>
      <c r="K238" s="12" t="inlineStr">
        <is>
          <t>Codex — execução automatizada isolada; não responsável financeiro</t>
        </is>
      </c>
      <c r="L238" s="28" t="n">
        <v>46317.64012649305</v>
      </c>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v>9700000</v>
      </c>
      <c r="H239" s="32">
        <f>IF(AND(ISNUMBER(F239),ISNUMBER(G239)),G239-F239,"")</f>
        <v/>
      </c>
      <c r="I239" s="16">
        <f>IF(COUNTBLANK(G239)=1,"Não executado",IF(ISNUMBER(F239)&lt;&gt;ISNUMBER(G239),"Tipo incompatível",IF(IF(E239="&lt;&gt;",G239&lt;&gt;F239,G239=F239),IF(OR(J239="",K239="",NOT(ISNUMBER(L239)),L239&lt;=0),"Evidência pendente","Compatível"),"Divergente")))</f>
        <v/>
      </c>
      <c r="J239" s="12" t="inlineStr">
        <is>
          <t>etapa12-parciais/evidencias/comparacao-4.json; banco.json; registros.json; servidor-tela-acoes.log — fictício, sem aceite financeiro</t>
        </is>
      </c>
      <c r="K239" s="12" t="inlineStr">
        <is>
          <t>Codex — execução automatizada isolada; não responsável financeiro</t>
        </is>
      </c>
      <c r="L239" s="28" t="n">
        <v>46317.64012649305</v>
      </c>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v>1700000</v>
      </c>
      <c r="H240" s="32">
        <f>IF(AND(ISNUMBER(F240),ISNUMBER(G240)),G240-F240,"")</f>
        <v/>
      </c>
      <c r="I240" s="16">
        <f>IF(COUNTBLANK(G240)=1,"Não executado",IF(ISNUMBER(F240)&lt;&gt;ISNUMBER(G240),"Tipo incompatível",IF(IF(E240="&lt;&gt;",G240&lt;&gt;F240,G240=F240),IF(OR(J240="",K240="",NOT(ISNUMBER(L240)),L240&lt;=0),"Evidência pendente","Compatível"),"Divergente")))</f>
        <v/>
      </c>
      <c r="J240" s="12" t="inlineStr">
        <is>
          <t>etapa12-parciais/evidencias/comparacao-4.json; banco.json; registros.json; servidor-tela-acoes.log — fictício, sem aceite financeiro</t>
        </is>
      </c>
      <c r="K240" s="12" t="inlineStr">
        <is>
          <t>Codex — execução automatizada isolada; não responsável financeiro</t>
        </is>
      </c>
      <c r="L240" s="28" t="n">
        <v>46317.64012649305</v>
      </c>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v>4000000</v>
      </c>
      <c r="H241" s="32">
        <f>IF(AND(ISNUMBER(F241),ISNUMBER(G241)),G241-F241,"")</f>
        <v/>
      </c>
      <c r="I241" s="16">
        <f>IF(COUNTBLANK(G241)=1,"Não executado",IF(ISNUMBER(F241)&lt;&gt;ISNUMBER(G241),"Tipo incompatível",IF(IF(E241="&lt;&gt;",G241&lt;&gt;F241,G241=F241),IF(OR(J241="",K241="",NOT(ISNUMBER(L241)),L241&lt;=0),"Evidência pendente","Compatível"),"Divergente")))</f>
        <v/>
      </c>
      <c r="J241" s="12" t="inlineStr">
        <is>
          <t>etapa12-parciais/evidencias/comparacao-4.json; banco.json; registros.json; servidor-tela-acoes.log — fictício, sem aceite financeiro</t>
        </is>
      </c>
      <c r="K241" s="12" t="inlineStr">
        <is>
          <t>Codex — execução automatizada isolada; não responsável financeiro</t>
        </is>
      </c>
      <c r="L241" s="28" t="n">
        <v>46317.64012649305</v>
      </c>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v>4000000</v>
      </c>
      <c r="H242" s="32">
        <f>IF(AND(ISNUMBER(F242),ISNUMBER(G242)),G242-F242,"")</f>
        <v/>
      </c>
      <c r="I242" s="16">
        <f>IF(COUNTBLANK(G242)=1,"Não executado",IF(ISNUMBER(F242)&lt;&gt;ISNUMBER(G242),"Tipo incompatível",IF(IF(E242="&lt;&gt;",G242&lt;&gt;F242,G242=F242),IF(OR(J242="",K242="",NOT(ISNUMBER(L242)),L242&lt;=0),"Evidência pendente","Compatível"),"Divergente")))</f>
        <v/>
      </c>
      <c r="J242" s="12" t="inlineStr">
        <is>
          <t>etapa12-parciais/evidencias/comparacao-4.json; banco.json; registros.json; servidor-tela-acoes.log — fictício, sem aceite financeiro</t>
        </is>
      </c>
      <c r="K242" s="12" t="inlineStr">
        <is>
          <t>Codex — execução automatizada isolada; não responsável financeiro</t>
        </is>
      </c>
      <c r="L242" s="28" t="n">
        <v>46317.64012649305</v>
      </c>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v>9700000</v>
      </c>
      <c r="H243" s="32">
        <f>IF(AND(ISNUMBER(F243),ISNUMBER(G243)),G243-F243,"")</f>
        <v/>
      </c>
      <c r="I243" s="16">
        <f>IF(COUNTBLANK(G243)=1,"Não executado",IF(ISNUMBER(F243)&lt;&gt;ISNUMBER(G243),"Tipo incompatível",IF(IF(E243="&lt;&gt;",G243&lt;&gt;F243,G243=F243),IF(OR(J243="",K243="",NOT(ISNUMBER(L243)),L243&lt;=0),"Evidência pendente","Compatível"),"Divergente")))</f>
        <v/>
      </c>
      <c r="J243" s="12" t="inlineStr">
        <is>
          <t>etapa12-parciais/evidencias/comparacao-4.json; banco.json; registros.json; servidor-tela-acoes.log — fictício, sem aceite financeiro</t>
        </is>
      </c>
      <c r="K243" s="12" t="inlineStr">
        <is>
          <t>Codex — execução automatizada isolada; não responsável financeiro</t>
        </is>
      </c>
      <c r="L243" s="28" t="n">
        <v>46317.64012649305</v>
      </c>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v>0</v>
      </c>
      <c r="H244" s="32">
        <f>IF(AND(ISNUMBER(F244),ISNUMBER(G244)),G244-F244,"")</f>
        <v/>
      </c>
      <c r="I244" s="16">
        <f>IF(COUNTBLANK(G244)=1,"Não executado",IF(ISNUMBER(F244)&lt;&gt;ISNUMBER(G244),"Tipo incompatível",IF(IF(E244="&lt;&gt;",G244&lt;&gt;F244,G244=F244),IF(OR(J244="",K244="",NOT(ISNUMBER(L244)),L244&lt;=0),"Evidência pendente","Compatível"),"Divergente")))</f>
        <v/>
      </c>
      <c r="J244" s="12" t="inlineStr">
        <is>
          <t>etapa12-parciais/evidencias/comparacao-4.json; banco.json; registros.json; servidor-tela-acoes.log — fictício, sem aceite financeiro</t>
        </is>
      </c>
      <c r="K244" s="12" t="inlineStr">
        <is>
          <t>Codex — execução automatizada isolada; não responsável financeiro</t>
        </is>
      </c>
      <c r="L244" s="28" t="n">
        <v>46317.64012649305</v>
      </c>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v>9700000</v>
      </c>
      <c r="H245" s="32">
        <f>IF(AND(ISNUMBER(F245),ISNUMBER(G245)),G245-F245,"")</f>
        <v/>
      </c>
      <c r="I245" s="16">
        <f>IF(COUNTBLANK(G245)=1,"Não executado",IF(ISNUMBER(F245)&lt;&gt;ISNUMBER(G245),"Tipo incompatível",IF(IF(E245="&lt;&gt;",G245&lt;&gt;F245,G245=F245),IF(OR(J245="",K245="",NOT(ISNUMBER(L245)),L245&lt;=0),"Evidência pendente","Compatível"),"Divergente")))</f>
        <v/>
      </c>
      <c r="J245" s="12" t="inlineStr">
        <is>
          <t>etapa12-parciais/evidencias/comparacao-4.json; banco.json; registros.json; servidor-tela-acoes.log — fictício, sem aceite financeiro</t>
        </is>
      </c>
      <c r="K245" s="12" t="inlineStr">
        <is>
          <t>Codex — execução automatizada isolada; não responsável financeiro</t>
        </is>
      </c>
      <c r="L245" s="28" t="n">
        <v>46317.64012649305</v>
      </c>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v>14000000</v>
      </c>
      <c r="H260" s="29">
        <f>IF(AND(ISNUMBER(F260),ISNUMBER(G260)),G260-F260,"")</f>
        <v/>
      </c>
      <c r="I260" s="20">
        <f>IF(COUNTBLANK(G260)=1,"Não executado",IF(ISNUMBER(F260)&lt;&gt;ISNUMBER(G260),"Tipo incompatível",IF(IF(E260="&lt;&gt;",G260&lt;&gt;F260,G260=F260),IF(OR(J260="",K260="",NOT(ISNUMBER(L260)),L260&lt;=0),"Evidência pendente","Compatível"),"Divergente")))</f>
        <v/>
      </c>
      <c r="J260" s="23" t="inlineStr">
        <is>
          <t>etapa13-segundo-grupo/evidencias/comparacao-2.json; banco.json; testes-etapa13.log — recorte fictício; cenário global parcial</t>
        </is>
      </c>
      <c r="K260" s="23" t="inlineStr">
        <is>
          <t>Codex — teste automatizado isolado, sem autoridade para aceite financeiro</t>
        </is>
      </c>
      <c r="L260" s="31" t="n">
        <v>46317.67757835648</v>
      </c>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v>84000000</v>
      </c>
      <c r="H261" s="32">
        <f>IF(AND(ISNUMBER(F261),ISNUMBER(G261)),G261-F261,"")</f>
        <v/>
      </c>
      <c r="I261" s="16">
        <f>IF(COUNTBLANK(G261)=1,"Não executado",IF(ISNUMBER(F261)&lt;&gt;ISNUMBER(G261),"Tipo incompatível",IF(IF(E261="&lt;&gt;",G261&lt;&gt;F261,G261=F261),IF(OR(J261="",K261="",NOT(ISNUMBER(L261)),L261&lt;=0),"Evidência pendente","Compatível"),"Divergente")))</f>
        <v/>
      </c>
      <c r="J261" s="12" t="inlineStr">
        <is>
          <t>etapa13-segundo-grupo/evidencias/comparacao-2.json; banco.json; testes-etapa13.log — recorte fictício; cenário global parcial</t>
        </is>
      </c>
      <c r="K261" s="12" t="inlineStr">
        <is>
          <t>Codex — teste automatizado isolado, sem autoridade para aceite financeiro</t>
        </is>
      </c>
      <c r="L261" s="28" t="n">
        <v>46317.67757835648</v>
      </c>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inlineStr">
        <is>
          <t>etapa13-segundo-grupo/evidencias/comparacao-2.json; banco.json; testes-etapa13.log — recorte fictício; cenário global parcial</t>
        </is>
      </c>
      <c r="K262" s="12" t="inlineStr">
        <is>
          <t>Codex — teste automatizado isolado, sem autoridade para aceite financeiro</t>
        </is>
      </c>
      <c r="L262" s="28" t="n">
        <v>46317.67757835648</v>
      </c>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inlineStr">
        <is>
          <t>etapa13-segundo-grupo/evidencias/comparacao-2.json; banco.json; testes-etapa13.log — recorte fictício; cenário global parcial</t>
        </is>
      </c>
      <c r="K263" s="12" t="inlineStr">
        <is>
          <t>Codex — teste automatizado isolado, sem autoridade para aceite financeiro</t>
        </is>
      </c>
      <c r="L263" s="28" t="n">
        <v>46317.67757835648</v>
      </c>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inlineStr">
        <is>
          <t>etapa13-segundo-grupo/evidencias/comparacao-2.json; banco.json; testes-etapa13.log — recorte fictício; cenário global parcial</t>
        </is>
      </c>
      <c r="K264" s="12" t="inlineStr">
        <is>
          <t>Codex — teste automatizado isolado, sem autoridade para aceite financeiro</t>
        </is>
      </c>
      <c r="L264" s="28" t="n">
        <v>46317.67757835648</v>
      </c>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inlineStr">
        <is>
          <t>etapa13-segundo-grupo/evidencias/comparacao-2.json; banco.json; testes-etapa13.log — recorte fictício; cenário global parcial</t>
        </is>
      </c>
      <c r="K265" s="12" t="inlineStr">
        <is>
          <t>Codex — teste automatizado isolado, sem autoridade para aceite financeiro</t>
        </is>
      </c>
      <c r="L265" s="28" t="n">
        <v>46317.67757835648</v>
      </c>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inlineStr">
        <is>
          <t>incompleto</t>
        </is>
      </c>
      <c r="H266" s="32">
        <f>IF(AND(ISNUMBER(F266),ISNUMBER(G266)),G266-F266,"")</f>
        <v/>
      </c>
      <c r="I266" s="16">
        <f>IF(COUNTBLANK(G266)=1,"Não executado",IF(ISNUMBER(F266)&lt;&gt;ISNUMBER(G266),"Tipo incompatível",IF(IF(E266="&lt;&gt;",G266&lt;&gt;F266,G266=F266),IF(OR(J266="",K266="",NOT(ISNUMBER(L266)),L266&lt;=0),"Evidência pendente","Compatível"),"Divergente")))</f>
        <v/>
      </c>
      <c r="J266" s="12" t="inlineStr">
        <is>
          <t>etapa13-segundo-grupo/evidencias/comparacao-2.json; banco.json; testes-etapa13.log — recorte fictício; cenário global parcial</t>
        </is>
      </c>
      <c r="K266" s="12" t="inlineStr">
        <is>
          <t>Codex — teste automatizado isolado, sem autoridade para aceite financeiro</t>
        </is>
      </c>
      <c r="L266" s="28" t="n">
        <v>46317.67757835648</v>
      </c>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etapa9-homologacao/evidencias/comparacao-novos-integrais.json; banco.json; extratos-referencia.json — isolamento; sem aceite financeiro</t>
        </is>
      </c>
      <c r="K275" s="23" t="inlineStr">
        <is>
          <t>Codex — observação automatizada isolada, não responsável financeiro</t>
        </is>
      </c>
      <c r="L275" s="31" t="n">
        <v>46317.45682456018</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etapa9-homologacao/evidencias/comparacao-novos-integrais.json; banco.json; extratos-referencia.json — isolamento; sem aceite financeiro</t>
        </is>
      </c>
      <c r="K276" s="12" t="inlineStr">
        <is>
          <t>Codex — observação automatizada isolada, não responsável financeiro</t>
        </is>
      </c>
      <c r="L276" s="28" t="n">
        <v>46317.45682456018</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etapa9-homologacao/evidencias/comparacao-novos-integrais.json; banco.json; extratos-referencia.json — isolamento; sem aceite financeiro</t>
        </is>
      </c>
      <c r="K277" s="12" t="inlineStr">
        <is>
          <t>Codex — observação automatizada isolada, não responsável financeiro</t>
        </is>
      </c>
      <c r="L277" s="28" t="n">
        <v>46317.45682456018</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etapa9-homologacao/evidencias/comparacao-novos-integrais.json; banco.json; extratos-referencia.json — isolamento; sem aceite financeiro</t>
        </is>
      </c>
      <c r="K278" s="12" t="inlineStr">
        <is>
          <t>Codex — observação automatizada isolada, não responsável financeiro</t>
        </is>
      </c>
      <c r="L278" s="28" t="n">
        <v>46317.45682456018</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etapa9-homologacao/evidencias/comparacao-novos-integrais.json; banco.json; extratos-referencia.json — isolamento; sem aceite financeiro</t>
        </is>
      </c>
      <c r="K279" s="12" t="inlineStr">
        <is>
          <t>Codex — observação automatizada isolada, não responsável financeiro</t>
        </is>
      </c>
      <c r="L279" s="28" t="n">
        <v>46317.45682456018</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etapa9-homologacao/evidencias/comparacao-novos-integrais.json; banco.json; extratos-referencia.json — isolamento; sem aceite financeiro</t>
        </is>
      </c>
      <c r="K280" s="12" t="inlineStr">
        <is>
          <t>Codex — observação automatizada isolada, não responsável financeiro</t>
        </is>
      </c>
      <c r="L280" s="28" t="n">
        <v>46317.45682456018</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etapa9-homologacao/evidencias/comparacao-novos-integrais.json; banco.json; extratos-referencia.json — isolamento; sem aceite financeiro</t>
        </is>
      </c>
      <c r="K281" s="12" t="inlineStr">
        <is>
          <t>Codex — observação automatizada isolada, não responsável financeiro</t>
        </is>
      </c>
      <c r="L281" s="28" t="n">
        <v>46317.45682456018</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etapa9-homologacao/evidencias/comparacao-novos-integrais.json; banco.json; extratos-referencia.json — isolamento; sem aceite financeiro</t>
        </is>
      </c>
      <c r="K282" s="12" t="inlineStr">
        <is>
          <t>Codex — observação automatizada isolada, não responsável financeiro</t>
        </is>
      </c>
      <c r="L282" s="28" t="n">
        <v>46317.45682456018</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v>3</v>
      </c>
      <c r="H283" s="29">
        <f>IF(AND(ISNUMBER(F283),ISNUMBER(G283)),G283-F283,"")</f>
        <v/>
      </c>
      <c r="I283" s="20">
        <f>IF(COUNTBLANK(G283)=1,"Não executado",IF(ISNUMBER(F283)&lt;&gt;ISNUMBER(G283),"Tipo incompatível",IF(IF(E283="&lt;&gt;",G283&lt;&gt;F283,G283=F283),IF(OR(J283="",K283="",NOT(ISNUMBER(L283)),L283&lt;=0),"Evidência pendente","Compatível"),"Divergente")))</f>
        <v/>
      </c>
      <c r="J283" s="23" t="inlineStr">
        <is>
          <t>etapa13-segundo-grupo/evidencias/comparacao-2.json; banco.json; testes-etapa13.log — recorte fictício; cenário global parcial</t>
        </is>
      </c>
      <c r="K283" s="23" t="inlineStr">
        <is>
          <t>Codex — teste automatizado isolado, sem autoridade para aceite financeiro</t>
        </is>
      </c>
      <c r="L283" s="31" t="n">
        <v>46317.67757835648</v>
      </c>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v>100000</v>
      </c>
      <c r="H284" s="32">
        <f>IF(AND(ISNUMBER(F284),ISNUMBER(G284)),G284-F284,"")</f>
        <v/>
      </c>
      <c r="I284" s="16">
        <f>IF(COUNTBLANK(G284)=1,"Não executado",IF(ISNUMBER(F284)&lt;&gt;ISNUMBER(G284),"Tipo incompatível",IF(IF(E284="&lt;&gt;",G284&lt;&gt;F284,G284=F284),IF(OR(J284="",K284="",NOT(ISNUMBER(L284)),L284&lt;=0),"Evidência pendente","Compatível"),"Divergente")))</f>
        <v/>
      </c>
      <c r="J284" s="12" t="inlineStr">
        <is>
          <t>etapa13-segundo-grupo/evidencias/comparacao-2.json; banco.json; testes-etapa13.log — recorte fictício; cenário global parcial</t>
        </is>
      </c>
      <c r="K284" s="12" t="inlineStr">
        <is>
          <t>Codex — teste automatizado isolado, sem autoridade para aceite financeiro</t>
        </is>
      </c>
      <c r="L284" s="28" t="n">
        <v>46317.67757835648</v>
      </c>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v>900000</v>
      </c>
      <c r="H285" s="32">
        <f>IF(AND(ISNUMBER(F285),ISNUMBER(G285)),G285-F285,"")</f>
        <v/>
      </c>
      <c r="I285" s="16">
        <f>IF(COUNTBLANK(G285)=1,"Não executado",IF(ISNUMBER(F285)&lt;&gt;ISNUMBER(G285),"Tipo incompatível",IF(IF(E285="&lt;&gt;",G285&lt;&gt;F285,G285=F285),IF(OR(J285="",K285="",NOT(ISNUMBER(L285)),L285&lt;=0),"Evidência pendente","Compatível"),"Divergente")))</f>
        <v/>
      </c>
      <c r="J285" s="12" t="inlineStr">
        <is>
          <t>etapa13-segundo-grupo/evidencias/comparacao-2.json; banco.json; testes-etapa13.log — recorte fictício; cenário global parcial</t>
        </is>
      </c>
      <c r="K285" s="12" t="inlineStr">
        <is>
          <t>Codex — teste automatizado isolado, sem autoridade para aceite financeiro</t>
        </is>
      </c>
      <c r="L285" s="28" t="n">
        <v>46317.67757835648</v>
      </c>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v>100000</v>
      </c>
      <c r="H286" s="32">
        <f>IF(AND(ISNUMBER(F286),ISNUMBER(G286)),G286-F286,"")</f>
        <v/>
      </c>
      <c r="I286" s="16">
        <f>IF(COUNTBLANK(G286)=1,"Não executado",IF(ISNUMBER(F286)&lt;&gt;ISNUMBER(G286),"Tipo incompatível",IF(IF(E286="&lt;&gt;",G286&lt;&gt;F286,G286=F286),IF(OR(J286="",K286="",NOT(ISNUMBER(L286)),L286&lt;=0),"Evidência pendente","Compatível"),"Divergente")))</f>
        <v/>
      </c>
      <c r="J286" s="12" t="inlineStr">
        <is>
          <t>etapa13-segundo-grupo/evidencias/comparacao-2.json; banco.json; testes-etapa13.log — recorte fictício; cenário global parcial</t>
        </is>
      </c>
      <c r="K286" s="12" t="inlineStr">
        <is>
          <t>Codex — teste automatizado isolado, sem autoridade para aceite financeiro</t>
        </is>
      </c>
      <c r="L286" s="28" t="n">
        <v>46317.67757835648</v>
      </c>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v>300000</v>
      </c>
      <c r="H287" s="32">
        <f>IF(AND(ISNUMBER(F287),ISNUMBER(G287)),G287-F287,"")</f>
        <v/>
      </c>
      <c r="I287" s="16">
        <f>IF(COUNTBLANK(G287)=1,"Não executado",IF(ISNUMBER(F287)&lt;&gt;ISNUMBER(G287),"Tipo incompatível",IF(IF(E287="&lt;&gt;",G287&lt;&gt;F287,G287=F287),IF(OR(J287="",K287="",NOT(ISNUMBER(L287)),L287&lt;=0),"Evidência pendente","Compatível"),"Divergente")))</f>
        <v/>
      </c>
      <c r="J287" s="12" t="inlineStr">
        <is>
          <t>etapa13-segundo-grupo/evidencias/comparacao-2.json; banco.json; testes-etapa13.log — recorte fictício; cenário global parcial</t>
        </is>
      </c>
      <c r="K287" s="12" t="inlineStr">
        <is>
          <t>Codex — teste automatizado isolado, sem autoridade para aceite financeiro</t>
        </is>
      </c>
      <c r="L287" s="28" t="n">
        <v>46317.67757835648</v>
      </c>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v>400000</v>
      </c>
      <c r="H288" s="32">
        <f>IF(AND(ISNUMBER(F288),ISNUMBER(G288)),G288-F288,"")</f>
        <v/>
      </c>
      <c r="I288" s="16">
        <f>IF(COUNTBLANK(G288)=1,"Não executado",IF(ISNUMBER(F288)&lt;&gt;ISNUMBER(G288),"Tipo incompatível",IF(IF(E288="&lt;&gt;",G288&lt;&gt;F288,G288=F288),IF(OR(J288="",K288="",NOT(ISNUMBER(L288)),L288&lt;=0),"Evidência pendente","Compatível"),"Divergente")))</f>
        <v/>
      </c>
      <c r="J288" s="12" t="inlineStr">
        <is>
          <t>etapa13-segundo-grupo/evidencias/comparacao-2.json; banco.json; testes-etapa13.log — recorte fictício; cenário global parcial</t>
        </is>
      </c>
      <c r="K288" s="12" t="inlineStr">
        <is>
          <t>Codex — teste automatizado isolado, sem autoridade para aceite financeiro</t>
        </is>
      </c>
      <c r="L288" s="28" t="n">
        <v>46317.67757835648</v>
      </c>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v>900000</v>
      </c>
      <c r="H289" s="32">
        <f>IF(AND(ISNUMBER(F289),ISNUMBER(G289)),G289-F289,"")</f>
        <v/>
      </c>
      <c r="I289" s="16">
        <f>IF(COUNTBLANK(G289)=1,"Não executado",IF(ISNUMBER(F289)&lt;&gt;ISNUMBER(G289),"Tipo incompatível",IF(IF(E289="&lt;&gt;",G289&lt;&gt;F289,G289=F289),IF(OR(J289="",K289="",NOT(ISNUMBER(L289)),L289&lt;=0),"Evidência pendente","Compatível"),"Divergente")))</f>
        <v/>
      </c>
      <c r="J289" s="12" t="inlineStr">
        <is>
          <t>etapa13-segundo-grupo/evidencias/comparacao-2.json; banco.json; testes-etapa13.log — recorte fictício; cenário global parcial</t>
        </is>
      </c>
      <c r="K289" s="12" t="inlineStr">
        <is>
          <t>Codex — teste automatizado isolado, sem autoridade para aceite financeiro</t>
        </is>
      </c>
      <c r="L289" s="28" t="n">
        <v>46317.67757835648</v>
      </c>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v>0</v>
      </c>
      <c r="H290" s="32">
        <f>IF(AND(ISNUMBER(F290),ISNUMBER(G290)),G290-F290,"")</f>
        <v/>
      </c>
      <c r="I290" s="16">
        <f>IF(COUNTBLANK(G290)=1,"Não executado",IF(ISNUMBER(F290)&lt;&gt;ISNUMBER(G290),"Tipo incompatível",IF(IF(E290="&lt;&gt;",G290&lt;&gt;F290,G290=F290),IF(OR(J290="",K290="",NOT(ISNUMBER(L290)),L290&lt;=0),"Evidência pendente","Compatível"),"Divergente")))</f>
        <v/>
      </c>
      <c r="J290" s="12" t="inlineStr">
        <is>
          <t>etapa13-segundo-grupo/evidencias/comparacao-2.json; banco.json; testes-etapa13.log — recorte fictício; cenário global parcial</t>
        </is>
      </c>
      <c r="K290" s="12" t="inlineStr">
        <is>
          <t>Codex — teste automatizado isolado, sem autoridade para aceite financeiro</t>
        </is>
      </c>
      <c r="L290" s="28" t="n">
        <v>46317.67757835648</v>
      </c>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v>0</v>
      </c>
      <c r="H291" s="32">
        <f>IF(AND(ISNUMBER(F291),ISNUMBER(G291)),G291-F291,"")</f>
        <v/>
      </c>
      <c r="I291" s="16">
        <f>IF(COUNTBLANK(G291)=1,"Não executado",IF(ISNUMBER(F291)&lt;&gt;ISNUMBER(G291),"Tipo incompatível",IF(IF(E291="&lt;&gt;",G291&lt;&gt;F291,G291=F291),IF(OR(J291="",K291="",NOT(ISNUMBER(L291)),L291&lt;=0),"Evidência pendente","Compatível"),"Divergente")))</f>
        <v/>
      </c>
      <c r="J291" s="12" t="inlineStr">
        <is>
          <t>etapa13-segundo-grupo/evidencias/comparacao-2.json; banco.json; testes-etapa13.log — recorte fictício; cenário global parcial</t>
        </is>
      </c>
      <c r="K291" s="12" t="inlineStr">
        <is>
          <t>Codex — teste automatizado isolado, sem autoridade para aceite financeiro</t>
        </is>
      </c>
      <c r="L291" s="28" t="n">
        <v>46317.67757835648</v>
      </c>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v>0</v>
      </c>
      <c r="H292" s="32">
        <f>IF(AND(ISNUMBER(F292),ISNUMBER(G292)),G292-F292,"")</f>
        <v/>
      </c>
      <c r="I292" s="16">
        <f>IF(COUNTBLANK(G292)=1,"Não executado",IF(ISNUMBER(F292)&lt;&gt;ISNUMBER(G292),"Tipo incompatível",IF(IF(E292="&lt;&gt;",G292&lt;&gt;F292,G292=F292),IF(OR(J292="",K292="",NOT(ISNUMBER(L292)),L292&lt;=0),"Evidência pendente","Compatível"),"Divergente")))</f>
        <v/>
      </c>
      <c r="J292" s="12" t="inlineStr">
        <is>
          <t>etapa13-segundo-grupo/evidencias/comparacao-2.json; banco.json; testes-etapa13.log — recorte fictício; cenário global parcial</t>
        </is>
      </c>
      <c r="K292" s="12" t="inlineStr">
        <is>
          <t>Codex — teste automatizado isolado, sem autoridade para aceite financeiro</t>
        </is>
      </c>
      <c r="L292" s="28" t="n">
        <v>46317.67757835648</v>
      </c>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v>0</v>
      </c>
      <c r="H293" s="32">
        <f>IF(AND(ISNUMBER(F293),ISNUMBER(G293)),G293-F293,"")</f>
        <v/>
      </c>
      <c r="I293" s="16">
        <f>IF(COUNTBLANK(G293)=1,"Não executado",IF(ISNUMBER(F293)&lt;&gt;ISNUMBER(G293),"Tipo incompatível",IF(IF(E293="&lt;&gt;",G293&lt;&gt;F293,G293=F293),IF(OR(J293="",K293="",NOT(ISNUMBER(L293)),L293&lt;=0),"Evidência pendente","Compatível"),"Divergente")))</f>
        <v/>
      </c>
      <c r="J293" s="12" t="inlineStr">
        <is>
          <t>etapa13-segundo-grupo/evidencias/comparacao-2.json; banco.json; testes-etapa13.log — recorte fictício; cenário global parcial</t>
        </is>
      </c>
      <c r="K293" s="12" t="inlineStr">
        <is>
          <t>Codex — teste automatizado isolado, sem autoridade para aceite financeiro</t>
        </is>
      </c>
      <c r="L293" s="28" t="n">
        <v>46317.67757835648</v>
      </c>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v>0</v>
      </c>
      <c r="H294" s="32">
        <f>IF(AND(ISNUMBER(F294),ISNUMBER(G294)),G294-F294,"")</f>
        <v/>
      </c>
      <c r="I294" s="16">
        <f>IF(COUNTBLANK(G294)=1,"Não executado",IF(ISNUMBER(F294)&lt;&gt;ISNUMBER(G294),"Tipo incompatível",IF(IF(E294="&lt;&gt;",G294&lt;&gt;F294,G294=F294),IF(OR(J294="",K294="",NOT(ISNUMBER(L294)),L294&lt;=0),"Evidência pendente","Compatível"),"Divergente")))</f>
        <v/>
      </c>
      <c r="J294" s="12" t="inlineStr">
        <is>
          <t>etapa13-segundo-grupo/evidencias/comparacao-2.json; banco.json; testes-etapa13.log — recorte fictício; cenário global parcial</t>
        </is>
      </c>
      <c r="K294" s="12" t="inlineStr">
        <is>
          <t>Codex — teste automatizado isolado, sem autoridade para aceite financeiro</t>
        </is>
      </c>
      <c r="L294" s="28" t="n">
        <v>46317.67757835648</v>
      </c>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v>300000</v>
      </c>
      <c r="H295" s="29">
        <f>IF(AND(ISNUMBER(F295),ISNUMBER(G295)),G295-F295,"")</f>
        <v/>
      </c>
      <c r="I295" s="20">
        <f>IF(COUNTBLANK(G295)=1,"Não executado",IF(ISNUMBER(F295)&lt;&gt;ISNUMBER(G295),"Tipo incompatível",IF(IF(E295="&lt;&gt;",G295&lt;&gt;F295,G295=F295),IF(OR(J295="",K295="",NOT(ISNUMBER(L295)),L295&lt;=0),"Evidência pendente","Compatível"),"Divergente")))</f>
        <v/>
      </c>
      <c r="J295" s="23" t="inlineStr">
        <is>
          <t>etapa8-fluxo/evidencias/comparacao-integrais.json; banco.json; anteriores/liquidacoes.json; anteriores/integracao/integracao.json — isolamento, sem aceite financeiro</t>
        </is>
      </c>
      <c r="K295" s="23" t="inlineStr">
        <is>
          <t>Codex — execução automatizada isolada</t>
        </is>
      </c>
      <c r="L295" s="31" t="n">
        <v>46317.43093657408</v>
      </c>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v>100000</v>
      </c>
      <c r="H296" s="32">
        <f>IF(AND(ISNUMBER(F296),ISNUMBER(G296)),G296-F296,"")</f>
        <v/>
      </c>
      <c r="I296" s="16">
        <f>IF(COUNTBLANK(G296)=1,"Não executado",IF(ISNUMBER(F296)&lt;&gt;ISNUMBER(G296),"Tipo incompatível",IF(IF(E296="&lt;&gt;",G296&lt;&gt;F296,G296=F296),IF(OR(J296="",K296="",NOT(ISNUMBER(L296)),L296&lt;=0),"Evidência pendente","Compatível"),"Divergente")))</f>
        <v/>
      </c>
      <c r="J296" s="12" t="inlineStr">
        <is>
          <t>etapa8-fluxo/evidencias/comparacao-integrais.json; banco.json; anteriores/liquidacoes.json; anteriores/integracao/integracao.json — isolamento, sem aceite financeiro</t>
        </is>
      </c>
      <c r="K296" s="12" t="inlineStr">
        <is>
          <t>Codex — execução automatizada isolada</t>
        </is>
      </c>
      <c r="L296" s="28" t="n">
        <v>46317.43093657408</v>
      </c>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v>200000</v>
      </c>
      <c r="H297" s="32">
        <f>IF(AND(ISNUMBER(F297),ISNUMBER(G297)),G297-F297,"")</f>
        <v/>
      </c>
      <c r="I297" s="16">
        <f>IF(COUNTBLANK(G297)=1,"Não executado",IF(ISNUMBER(F297)&lt;&gt;ISNUMBER(G297),"Tipo incompatível",IF(IF(E297="&lt;&gt;",G297&lt;&gt;F297,G297=F297),IF(OR(J297="",K297="",NOT(ISNUMBER(L297)),L297&lt;=0),"Evidência pendente","Compatível"),"Divergente")))</f>
        <v/>
      </c>
      <c r="J297" s="12" t="inlineStr">
        <is>
          <t>etapa8-fluxo/evidencias/comparacao-integrais.json; banco.json; anteriores/liquidacoes.json; anteriores/integracao/integracao.json — isolamento, sem aceite financeiro</t>
        </is>
      </c>
      <c r="K297" s="12" t="inlineStr">
        <is>
          <t>Codex — execução automatizada isolada</t>
        </is>
      </c>
      <c r="L297" s="28" t="n">
        <v>46317.43093657408</v>
      </c>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v>300000</v>
      </c>
      <c r="H298" s="32">
        <f>IF(AND(ISNUMBER(F298),ISNUMBER(G298)),G298-F298,"")</f>
        <v/>
      </c>
      <c r="I298" s="16">
        <f>IF(COUNTBLANK(G298)=1,"Não executado",IF(ISNUMBER(F298)&lt;&gt;ISNUMBER(G298),"Tipo incompatível",IF(IF(E298="&lt;&gt;",G298&lt;&gt;F298,G298=F298),IF(OR(J298="",K298="",NOT(ISNUMBER(L298)),L298&lt;=0),"Evidência pendente","Compatível"),"Divergente")))</f>
        <v/>
      </c>
      <c r="J298" s="12" t="inlineStr">
        <is>
          <t>etapa8-fluxo/evidencias/comparacao-integrais.json; banco.json; anteriores/liquidacoes.json; anteriores/integracao/integracao.json — isolamento, sem aceite financeiro</t>
        </is>
      </c>
      <c r="K298" s="12" t="inlineStr">
        <is>
          <t>Codex — execução automatizada isolada</t>
        </is>
      </c>
      <c r="L298" s="28" t="n">
        <v>46317.43093657408</v>
      </c>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v>0</v>
      </c>
      <c r="H299" s="32">
        <f>IF(AND(ISNUMBER(F299),ISNUMBER(G299)),G299-F299,"")</f>
        <v/>
      </c>
      <c r="I299" s="16">
        <f>IF(COUNTBLANK(G299)=1,"Não executado",IF(ISNUMBER(F299)&lt;&gt;ISNUMBER(G299),"Tipo incompatível",IF(IF(E299="&lt;&gt;",G299&lt;&gt;F299,G299=F299),IF(OR(J299="",K299="",NOT(ISNUMBER(L299)),L299&lt;=0),"Evidência pendente","Compatível"),"Divergente")))</f>
        <v/>
      </c>
      <c r="J299" s="12" t="inlineStr">
        <is>
          <t>etapa8-fluxo/evidencias/comparacao-integrais.json; banco.json; anteriores/liquidacoes.json; anteriores/integracao/integracao.json — isolamento, sem aceite financeiro</t>
        </is>
      </c>
      <c r="K299" s="12" t="inlineStr">
        <is>
          <t>Codex — execução automatizada isolada</t>
        </is>
      </c>
      <c r="L299" s="28" t="n">
        <v>46317.43093657408</v>
      </c>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v>200000</v>
      </c>
      <c r="H300" s="32">
        <f>IF(AND(ISNUMBER(F300),ISNUMBER(G300)),G300-F300,"")</f>
        <v/>
      </c>
      <c r="I300" s="16">
        <f>IF(COUNTBLANK(G300)=1,"Não executado",IF(ISNUMBER(F300)&lt;&gt;ISNUMBER(G300),"Tipo incompatível",IF(IF(E300="&lt;&gt;",G300&lt;&gt;F300,G300=F300),IF(OR(J300="",K300="",NOT(ISNUMBER(L300)),L300&lt;=0),"Evidência pendente","Compatível"),"Divergente")))</f>
        <v/>
      </c>
      <c r="J300" s="12" t="inlineStr">
        <is>
          <t>etapa8-fluxo/evidencias/comparacao-integrais.json; banco.json; anteriores/liquidacoes.json; anteriores/integracao/integracao.json — isolamento, sem aceite financeiro</t>
        </is>
      </c>
      <c r="K300" s="12" t="inlineStr">
        <is>
          <t>Codex — execução automatizada isolada</t>
        </is>
      </c>
      <c r="L300" s="28" t="n">
        <v>46317.43093657408</v>
      </c>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v>200000</v>
      </c>
      <c r="H301" s="32">
        <f>IF(AND(ISNUMBER(F301),ISNUMBER(G301)),G301-F301,"")</f>
        <v/>
      </c>
      <c r="I301" s="16">
        <f>IF(COUNTBLANK(G301)=1,"Não executado",IF(ISNUMBER(F301)&lt;&gt;ISNUMBER(G301),"Tipo incompatível",IF(IF(E301="&lt;&gt;",G301&lt;&gt;F301,G301=F301),IF(OR(J301="",K301="",NOT(ISNUMBER(L301)),L301&lt;=0),"Evidência pendente","Compatível"),"Divergente")))</f>
        <v/>
      </c>
      <c r="J301" s="12" t="inlineStr">
        <is>
          <t>etapa8-fluxo/evidencias/comparacao-integrais.json; banco.json; anteriores/liquidacoes.json; anteriores/integracao/integracao.json — isolamento, sem aceite financeiro</t>
        </is>
      </c>
      <c r="K301" s="12" t="inlineStr">
        <is>
          <t>Codex — execução automatizada isolada</t>
        </is>
      </c>
      <c r="L301" s="28" t="n">
        <v>46317.43093657408</v>
      </c>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v>100000</v>
      </c>
      <c r="H302" s="32">
        <f>IF(AND(ISNUMBER(F302),ISNUMBER(G302)),G302-F302,"")</f>
        <v/>
      </c>
      <c r="I302" s="16">
        <f>IF(COUNTBLANK(G302)=1,"Não executado",IF(ISNUMBER(F302)&lt;&gt;ISNUMBER(G302),"Tipo incompatível",IF(IF(E302="&lt;&gt;",G302&lt;&gt;F302,G302=F302),IF(OR(J302="",K302="",NOT(ISNUMBER(L302)),L302&lt;=0),"Evidência pendente","Compatível"),"Divergente")))</f>
        <v/>
      </c>
      <c r="J302" s="12" t="inlineStr">
        <is>
          <t>etapa8-fluxo/evidencias/comparacao-integrais.json; banco.json; anteriores/liquidacoes.json; anteriores/integracao/integracao.json — isolamento, sem aceite financeiro</t>
        </is>
      </c>
      <c r="K302" s="12" t="inlineStr">
        <is>
          <t>Codex — execução automatizada isolada</t>
        </is>
      </c>
      <c r="L302" s="28" t="n">
        <v>46317.43093657408</v>
      </c>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v>100000</v>
      </c>
      <c r="H303" s="32">
        <f>IF(AND(ISNUMBER(F303),ISNUMBER(G303)),G303-F303,"")</f>
        <v/>
      </c>
      <c r="I303" s="16">
        <f>IF(COUNTBLANK(G303)=1,"Não executado",IF(ISNUMBER(F303)&lt;&gt;ISNUMBER(G303),"Tipo incompatível",IF(IF(E303="&lt;&gt;",G303&lt;&gt;F303,G303=F303),IF(OR(J303="",K303="",NOT(ISNUMBER(L303)),L303&lt;=0),"Evidência pendente","Compatível"),"Divergente")))</f>
        <v/>
      </c>
      <c r="J303" s="12" t="inlineStr">
        <is>
          <t>etapa8-fluxo/evidencias/comparacao-integrais.json; banco.json; anteriores/liquidacoes.json; anteriores/integracao/integracao.json — isolamento, sem aceite financeiro</t>
        </is>
      </c>
      <c r="K303" s="12" t="inlineStr">
        <is>
          <t>Codex — execução automatizada isolada</t>
        </is>
      </c>
      <c r="L303" s="28" t="n">
        <v>46317.43093657408</v>
      </c>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v>3</v>
      </c>
      <c r="H304" s="32">
        <f>IF(AND(ISNUMBER(F304),ISNUMBER(G304)),G304-F304,"")</f>
        <v/>
      </c>
      <c r="I304" s="16">
        <f>IF(COUNTBLANK(G304)=1,"Não executado",IF(ISNUMBER(F304)&lt;&gt;ISNUMBER(G304),"Tipo incompatível",IF(IF(E304="&lt;&gt;",G304&lt;&gt;F304,G304=F304),IF(OR(J304="",K304="",NOT(ISNUMBER(L304)),L304&lt;=0),"Evidência pendente","Compatível"),"Divergente")))</f>
        <v/>
      </c>
      <c r="J304" s="12" t="inlineStr">
        <is>
          <t>etapa8-fluxo/evidencias/comparacao-integrais.json; banco.json; anteriores/liquidacoes.json; anteriores/integracao/integracao.json — isolamento, sem aceite financeiro</t>
        </is>
      </c>
      <c r="K304" s="12" t="inlineStr">
        <is>
          <t>Codex — execução automatizada isolada</t>
        </is>
      </c>
      <c r="L304" s="28" t="n">
        <v>46317.43093657408</v>
      </c>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v>0</v>
      </c>
      <c r="H305" s="32">
        <f>IF(AND(ISNUMBER(F305),ISNUMBER(G305)),G305-F305,"")</f>
        <v/>
      </c>
      <c r="I305" s="16">
        <f>IF(COUNTBLANK(G305)=1,"Não executado",IF(ISNUMBER(F305)&lt;&gt;ISNUMBER(G305),"Tipo incompatível",IF(IF(E305="&lt;&gt;",G305&lt;&gt;F305,G305=F305),IF(OR(J305="",K305="",NOT(ISNUMBER(L305)),L305&lt;=0),"Evidência pendente","Compatível"),"Divergente")))</f>
        <v/>
      </c>
      <c r="J305" s="12" t="inlineStr">
        <is>
          <t>etapa8-fluxo/evidencias/comparacao-integrais.json; banco.json; anteriores/liquidacoes.json; anteriores/integracao/integracao.json — isolamento, sem aceite financeiro</t>
        </is>
      </c>
      <c r="K305" s="12" t="inlineStr">
        <is>
          <t>Codex — execução automatizada isolada</t>
        </is>
      </c>
      <c r="L305" s="28" t="n">
        <v>46317.43093657408</v>
      </c>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etapa8-fluxo/evidencias/comparacao-integrais.json; banco.json; anteriores/liquidacoes.json; anteriores/integracao/integracao.json — isolamento, sem aceite financeiro</t>
        </is>
      </c>
      <c r="K306" s="23" t="inlineStr">
        <is>
          <t>Codex — execução automatizada isolada</t>
        </is>
      </c>
      <c r="L306" s="31" t="n">
        <v>46317.43093657408</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etapa8-fluxo/evidencias/comparacao-integrais.json; banco.json; anteriores/liquidacoes.json; anteriores/integracao/integracao.json — isolamento, sem aceite financeiro</t>
        </is>
      </c>
      <c r="K307" s="12" t="inlineStr">
        <is>
          <t>Codex — execução automatizada isolada</t>
        </is>
      </c>
      <c r="L307" s="28" t="n">
        <v>46317.43093657408</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etapa8-fluxo/evidencias/comparacao-integrais.json; banco.json; anteriores/liquidacoes.json; anteriores/integracao/integracao.json — isolamento, sem aceite financeiro</t>
        </is>
      </c>
      <c r="K308" s="12" t="inlineStr">
        <is>
          <t>Codex — execução automatizada isolada</t>
        </is>
      </c>
      <c r="L308" s="28" t="n">
        <v>46317.43093657408</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etapa8-fluxo/evidencias/comparacao-integrais.json; banco.json; anteriores/liquidacoes.json; anteriores/integracao/integracao.json — isolamento, sem aceite financeiro</t>
        </is>
      </c>
      <c r="K309" s="12" t="inlineStr">
        <is>
          <t>Codex — execução automatizada isolada</t>
        </is>
      </c>
      <c r="L309" s="28" t="n">
        <v>46317.43093657408</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etapa8-fluxo/evidencias/comparacao-integrais.json; banco.json; anteriores/liquidacoes.json; anteriores/integracao/integracao.json — isolamento, sem aceite financeiro</t>
        </is>
      </c>
      <c r="K310" s="12" t="inlineStr">
        <is>
          <t>Codex — execução automatizada isolada</t>
        </is>
      </c>
      <c r="L310" s="28" t="n">
        <v>46317.43093657408</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etapa8-fluxo/evidencias/comparacao-integrais.json; banco.json; anteriores/liquidacoes.json; anteriores/integracao/integracao.json — isolamento, sem aceite financeiro</t>
        </is>
      </c>
      <c r="K311" s="12" t="inlineStr">
        <is>
          <t>Codex — execução automatizada isolada</t>
        </is>
      </c>
      <c r="L311" s="28" t="n">
        <v>46317.43093657408</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etapa8-fluxo/evidencias/comparacao-integrais.json; banco.json; anteriores/liquidacoes.json; anteriores/integracao/integracao.json — isolamento, sem aceite financeiro</t>
        </is>
      </c>
      <c r="K312" s="12" t="inlineStr">
        <is>
          <t>Codex — execução automatizada isolada</t>
        </is>
      </c>
      <c r="L312" s="28" t="n">
        <v>46317.43093657408</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etapa8-fluxo/evidencias/comparacao-integrais.json; banco.json; anteriores/liquidacoes.json; anteriores/integracao/integracao.json — isolamento, sem aceite financeiro</t>
        </is>
      </c>
      <c r="K313" s="12" t="inlineStr">
        <is>
          <t>Codex — execução automatizada isolada</t>
        </is>
      </c>
      <c r="L313" s="28" t="n">
        <v>46317.43093657408</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etapa8-fluxo/evidencias/comparacao-integrais.json; banco.json; anteriores/liquidacoes.json; anteriores/integracao/integracao.json — isolamento, sem aceite financeiro</t>
        </is>
      </c>
      <c r="K314" s="12" t="inlineStr">
        <is>
          <t>Codex — execução automatizada isolada</t>
        </is>
      </c>
      <c r="L314" s="28" t="n">
        <v>46317.43093657408</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etapa8-fluxo/evidencias/comparacao-integrais.json; banco.json; anteriores/liquidacoes.json; anteriores/integracao/integracao.json — isolamento, sem aceite financeiro</t>
        </is>
      </c>
      <c r="K315" s="12" t="inlineStr">
        <is>
          <t>Codex — execução automatizada isolada</t>
        </is>
      </c>
      <c r="L315" s="28" t="n">
        <v>46317.43093657408</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etapa8-fluxo/evidencias/comparacao-integrais.json; banco.json; anteriores/liquidacoes.json; anteriores/integracao/integracao.json — isolamento, sem aceite financeiro</t>
        </is>
      </c>
      <c r="K316" s="12" t="inlineStr">
        <is>
          <t>Codex — execução automatizada isolada</t>
        </is>
      </c>
      <c r="L316" s="28" t="n">
        <v>46317.43093657408</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etapa8-fluxo/evidencias/comparacao-integrais.json; banco.json; anteriores/liquidacoes.json; anteriores/integracao/integracao.json — isolamento, sem aceite financeiro</t>
        </is>
      </c>
      <c r="K317" s="12" t="inlineStr">
        <is>
          <t>Codex — execução automatizada isolada</t>
        </is>
      </c>
      <c r="L317" s="28" t="n">
        <v>46317.43093657408</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v>10000000</v>
      </c>
      <c r="H344" s="29">
        <f>IF(AND(ISNUMBER(F344),ISNUMBER(G344)),G344-F344,"")</f>
        <v/>
      </c>
      <c r="I344" s="20">
        <f>IF(COUNTBLANK(G344)=1,"Não executado",IF(ISNUMBER(F344)&lt;&gt;ISNUMBER(G344),"Tipo incompatível",IF(IF(E344="&lt;&gt;",G344&lt;&gt;F344,G344=F344),IF(OR(J344="",K344="",NOT(ISNUMBER(L344)),L344&lt;=0),"Evidência pendente","Compatível"),"Divergente")))</f>
        <v/>
      </c>
      <c r="J344" s="23" t="inlineStr">
        <is>
          <t>etapa12-parciais/evidencias/comparacao-4.json; banco.json; registros.json; servidor-tela-acoes.log — fictício, sem aceite financeiro</t>
        </is>
      </c>
      <c r="K344" s="23" t="inlineStr">
        <is>
          <t>Codex — execução automatizada isolada; não responsável financeiro</t>
        </is>
      </c>
      <c r="L344" s="31" t="n">
        <v>46317.64012649305</v>
      </c>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v>4000000</v>
      </c>
      <c r="H345" s="32">
        <f>IF(AND(ISNUMBER(F345),ISNUMBER(G345)),G345-F345,"")</f>
        <v/>
      </c>
      <c r="I345" s="16">
        <f>IF(COUNTBLANK(G345)=1,"Não executado",IF(ISNUMBER(F345)&lt;&gt;ISNUMBER(G345),"Tipo incompatível",IF(IF(E345="&lt;&gt;",G345&lt;&gt;F345,G345=F345),IF(OR(J345="",K345="",NOT(ISNUMBER(L345)),L345&lt;=0),"Evidência pendente","Compatível"),"Divergente")))</f>
        <v/>
      </c>
      <c r="J345" s="12" t="inlineStr">
        <is>
          <t>etapa12-parciais/evidencias/comparacao-4.json; banco.json; registros.json; servidor-tela-acoes.log — fictício, sem aceite financeiro</t>
        </is>
      </c>
      <c r="K345" s="12" t="inlineStr">
        <is>
          <t>Codex — execução automatizada isolada; não responsável financeiro</t>
        </is>
      </c>
      <c r="L345" s="28" t="n">
        <v>46317.64012649305</v>
      </c>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v>-3000000</v>
      </c>
      <c r="H346" s="32">
        <f>IF(AND(ISNUMBER(F346),ISNUMBER(G346)),G346-F346,"")</f>
        <v/>
      </c>
      <c r="I346" s="16">
        <f>IF(COUNTBLANK(G346)=1,"Não executado",IF(ISNUMBER(F346)&lt;&gt;ISNUMBER(G346),"Tipo incompatível",IF(IF(E346="&lt;&gt;",G346&lt;&gt;F346,G346=F346),IF(OR(J346="",K346="",NOT(ISNUMBER(L346)),L346&lt;=0),"Evidência pendente","Compatível"),"Divergente")))</f>
        <v/>
      </c>
      <c r="J346" s="12" t="inlineStr">
        <is>
          <t>etapa12-parciais/evidencias/comparacao-4.json; banco.json; registros.json; servidor-tela-acoes.log — fictício, sem aceite financeiro</t>
        </is>
      </c>
      <c r="K346" s="12" t="inlineStr">
        <is>
          <t>Codex — execução automatizada isolada; não responsável financeiro</t>
        </is>
      </c>
      <c r="L346" s="28" t="n">
        <v>46317.64012649305</v>
      </c>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v>5000000</v>
      </c>
      <c r="H347" s="32">
        <f>IF(AND(ISNUMBER(F347),ISNUMBER(G347)),G347-F347,"")</f>
        <v/>
      </c>
      <c r="I347" s="16">
        <f>IF(COUNTBLANK(G347)=1,"Não executado",IF(ISNUMBER(F347)&lt;&gt;ISNUMBER(G347),"Tipo incompatível",IF(IF(E347="&lt;&gt;",G347&lt;&gt;F347,G347=F347),IF(OR(J347="",K347="",NOT(ISNUMBER(L347)),L347&lt;=0),"Evidência pendente","Compatível"),"Divergente")))</f>
        <v/>
      </c>
      <c r="J347" s="12" t="inlineStr">
        <is>
          <t>etapa12-parciais/evidencias/comparacao-4.json; banco.json; registros.json; servidor-tela-acoes.log — fictício, sem aceite financeiro</t>
        </is>
      </c>
      <c r="K347" s="12" t="inlineStr">
        <is>
          <t>Codex — execução automatizada isolada; não responsável financeiro</t>
        </is>
      </c>
      <c r="L347" s="28" t="n">
        <v>46317.64012649305</v>
      </c>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v>0</v>
      </c>
      <c r="H348" s="32">
        <f>IF(AND(ISNUMBER(F348),ISNUMBER(G348)),G348-F348,"")</f>
        <v/>
      </c>
      <c r="I348" s="16">
        <f>IF(COUNTBLANK(G348)=1,"Não executado",IF(ISNUMBER(F348)&lt;&gt;ISNUMBER(G348),"Tipo incompatível",IF(IF(E348="&lt;&gt;",G348&lt;&gt;F348,G348=F348),IF(OR(J348="",K348="",NOT(ISNUMBER(L348)),L348&lt;=0),"Evidência pendente","Compatível"),"Divergente")))</f>
        <v/>
      </c>
      <c r="J348" s="12" t="inlineStr">
        <is>
          <t>etapa12-parciais/evidencias/comparacao-4.json; banco.json; registros.json; servidor-tela-acoes.log — fictício, sem aceite financeiro</t>
        </is>
      </c>
      <c r="K348" s="12" t="inlineStr">
        <is>
          <t>Codex — execução automatizada isolada; não responsável financeiro</t>
        </is>
      </c>
      <c r="L348" s="28" t="n">
        <v>46317.64012649305</v>
      </c>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v>0</v>
      </c>
      <c r="H349" s="32">
        <f>IF(AND(ISNUMBER(F349),ISNUMBER(G349)),G349-F349,"")</f>
        <v/>
      </c>
      <c r="I349" s="16">
        <f>IF(COUNTBLANK(G349)=1,"Não executado",IF(ISNUMBER(F349)&lt;&gt;ISNUMBER(G349),"Tipo incompatível",IF(IF(E349="&lt;&gt;",G349&lt;&gt;F349,G349=F349),IF(OR(J349="",K349="",NOT(ISNUMBER(L349)),L349&lt;=0),"Evidência pendente","Compatível"),"Divergente")))</f>
        <v/>
      </c>
      <c r="J349" s="12" t="inlineStr">
        <is>
          <t>etapa12-parciais/evidencias/comparacao-4.json; banco.json; registros.json; servidor-tela-acoes.log — fictício, sem aceite financeiro</t>
        </is>
      </c>
      <c r="K349" s="12" t="inlineStr">
        <is>
          <t>Codex — execução automatizada isolada; não responsável financeiro</t>
        </is>
      </c>
      <c r="L349" s="28" t="n">
        <v>46317.64012649305</v>
      </c>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etapa8-fluxo/evidencias/comparacao-integrais.json; banco.json; anteriores/liquidacoes.json; anteriores/integracao/integracao.json — isolamento, sem aceite financeiro</t>
        </is>
      </c>
      <c r="K350" s="23" t="inlineStr">
        <is>
          <t>Codex — execução automatizada isolada</t>
        </is>
      </c>
      <c r="L350" s="31" t="n">
        <v>46317.43093657408</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etapa8-fluxo/evidencias/comparacao-integrais.json; banco.json; anteriores/liquidacoes.json; anteriores/integracao/integracao.json — isolamento, sem aceite financeiro</t>
        </is>
      </c>
      <c r="K351" s="12" t="inlineStr">
        <is>
          <t>Codex — execução automatizada isolada</t>
        </is>
      </c>
      <c r="L351" s="28" t="n">
        <v>46317.43093657408</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etapa8-fluxo/evidencias/comparacao-integrais.json; banco.json; anteriores/liquidacoes.json; anteriores/integracao/integracao.json — isolamento, sem aceite financeiro</t>
        </is>
      </c>
      <c r="K352" s="12" t="inlineStr">
        <is>
          <t>Codex — execução automatizada isolada</t>
        </is>
      </c>
      <c r="L352" s="28" t="n">
        <v>46317.43093657408</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etapa8-fluxo/evidencias/comparacao-integrais.json; banco.json; anteriores/liquidacoes.json; anteriores/integracao/integracao.json — isolamento, sem aceite financeiro</t>
        </is>
      </c>
      <c r="K353" s="12" t="inlineStr">
        <is>
          <t>Codex — execução automatizada isolada</t>
        </is>
      </c>
      <c r="L353" s="28" t="n">
        <v>46317.43093657408</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etapa8-fluxo/evidencias/comparacao-integrais.json; banco.json; anteriores/liquidacoes.json; anteriores/integracao/integracao.json — isolamento, sem aceite financeiro</t>
        </is>
      </c>
      <c r="K354" s="12" t="inlineStr">
        <is>
          <t>Codex — execução automatizada isolada</t>
        </is>
      </c>
      <c r="L354" s="28" t="n">
        <v>46317.43093657408</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etapa8-fluxo/evidencias/comparacao-integrais.json; banco.json; anteriores/liquidacoes.json; anteriores/integracao/integracao.json — isolamento, sem aceite financeiro</t>
        </is>
      </c>
      <c r="K355" s="12" t="inlineStr">
        <is>
          <t>Codex — execução automatizada isolada</t>
        </is>
      </c>
      <c r="L355" s="28" t="n">
        <v>46317.43093657408</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anteriores/integracao/integracao.json; ../../etapa7-calculos/evidencias/comparacao-integrais.json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anteriores/integracao/integracao.json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 Leitura de saldo/eventos e vínculos bancários exercitada; extrato/caso completo permanece pendente.</t>
        </is>
      </c>
      <c r="E4" t="inlineStr">
        <is>
          <t>anteriores/liquidacoes.json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Oráculo de datas e faixas completo em componente: aberto/vencido em 21; caixa em 22, sem novo caixa em 24. Persistência econômica integral do caso ainda pendente.</t>
        </is>
      </c>
      <c r="E5" t="inlineStr">
        <is>
          <t>componentes-casos.json; comparacao-componentes.json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anteriores/liquidacoes.json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anteriores/componentes.log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anteriores/liquidacoes.json; anteriores/render.log; ../../etapa7-calculos/evidencias/comparacao-integrais.json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anteriores/liquidacoes.json; ../../etapa7-calculos/evidencias/comparacao-integrais.json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anteriores/componentes.log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../../etapa7-calculos/evidencias/regressao-81.log; anteriores/liquidacoes.json; anteriores/componentes.log</t>
        </is>
      </c>
      <c r="F12" t="inlineStr">
        <is>
          <t>Pendente — não preenchido pelo executor</t>
        </is>
      </c>
    </row>
    <row r="13">
      <c r="A13" t="inlineStr">
        <is>
          <t>CT12</t>
        </is>
      </c>
      <c r="B13" t="inlineStr">
        <is>
          <t>Título sem obra preservado no total da entidade</t>
        </is>
      </c>
      <c r="C13" t="inlineStr">
        <is>
          <t>Integralmente aprovado no perímetro isolado</t>
        </is>
      </c>
      <c r="D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E13" t="inlineStr">
        <is>
          <t>banco.json; comparacao-integrais.json</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anteriores/componentes-casos.json; anteriores/liquidacoes.json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anteriores/liquidacoes.json</t>
        </is>
      </c>
      <c r="F15" t="inlineStr">
        <is>
          <t>Pendente — não preenchido pelo executor</t>
        </is>
      </c>
    </row>
    <row r="16">
      <c r="A16" t="inlineStr">
        <is>
          <t>CT15</t>
        </is>
      </c>
      <c r="B16" t="inlineStr">
        <is>
          <t>Transferência própria com tarifa e ponta em trânsito</t>
        </is>
      </c>
      <c r="C16" t="inlineStr">
        <is>
          <t>Integralmente aprovado no perímetro isolado</t>
        </is>
      </c>
      <c r="D16" t="inlineStr">
        <is>
          <t>Aberturas 50.000/10.000 comprovadas na fixture. Dia20: banco39.985 + trânsito20.000; dia21: banco59.985 e trânsito0. Tarifa15 é única saída externa. Pontas e tarifa vinculadas a extratos fictícios.</t>
        </is>
      </c>
      <c r="E16" t="inlineStr">
        <is>
          <t>banco.json; comparacao-integrais.json</t>
        </is>
      </c>
      <c r="F16" t="inlineStr">
        <is>
          <t>Pendente — não preenchido pelo executor</t>
        </is>
      </c>
    </row>
    <row r="17">
      <c r="A17" t="inlineStr">
        <is>
          <t>CT16</t>
        </is>
      </c>
      <c r="B17" t="inlineStr">
        <is>
          <t>Mútuo entre entidades e eliminação apenas no consolidado autorizado</t>
        </is>
      </c>
      <c r="C17" t="inlineStr">
        <is>
          <t>Integralmente aprovado no perímetro isolado</t>
        </is>
      </c>
      <c r="D17" t="inlineStr">
        <is>
          <t>Mútuo documentado20.000: A/B fecham30.000 cada. Consolidado autorizado60.000; zero fluxo externo do mútuo; registros individuais preservados. Natureza/direitos no evento, sem presumir DFC contábil ou criar receita/custo.</t>
        </is>
      </c>
      <c r="E17" t="inlineStr">
        <is>
          <t>banco.json; comparacao-integrais.json</t>
        </is>
      </c>
      <c r="F17" t="inlineStr">
        <is>
          <t>Pendente — não preenchido pelo executor</t>
        </is>
      </c>
    </row>
    <row r="18">
      <c r="A18" t="inlineStr">
        <is>
          <t>CT17</t>
        </is>
      </c>
      <c r="B18" t="inlineStr">
        <is>
          <t>Reprogramação de previsão sem reescrever execução ou vencimento</t>
        </is>
      </c>
      <c r="C18" t="inlineStr">
        <is>
          <t>Integralmente aprovado no perímetro isolado</t>
        </is>
      </c>
      <c r="D18" t="inlineStr">
        <is>
          <t>Versões persistidas e fontes congeladas. Original130.000/80.000/40.000; reprogramado80.000/−10.000/40.000; necessidade0→30.000. Vencimentos permanecem até acordo separado; variante de renegociação e posição anterior passam. Incorrido20.000 é fato fixo da fixture.</t>
        </is>
      </c>
      <c r="E18" t="inlineStr">
        <is>
          <t>banco.json; comparacao-integrais.json; servidor-tela.log</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 P→C e cronograma físico persistidos em controle adicional; não promove todos os estados integrais do caso.</t>
        </is>
      </c>
      <c r="E19" t="inlineStr">
        <is>
          <t>anteriores/componentes-casos.json; ../../etapa7-calculos/evidencias/comparacao-componentes.json; anteriores/componentes.log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anteriores/componentes-casos.json; ../../etapa7-calculos/evidencias/comparacao-componentes.json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anteriores/fundacao/banco-final.json; anteriores/integracao/integracao.json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 Abertura/restrição sem prova gera saldo não validado, data ausente fica explícita; projeção por entidade evita compensação indevida.</t>
        </is>
      </c>
      <c r="E22" t="inlineStr">
        <is>
          <t>anteriores/componentes-casos.json; ../../etapa7-calculos/evidencias/comparacao-componentes.json; anteriores/componentes.log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anteriores/liquidacoes.json;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anteriores/liquidacoes.json; ../../etapa7-calculos/evidencias/comparacao-integrais.json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 Etapa8 testa cenários/transferências/cobertura e titular sem obra; Auth/browser e todos os canais ainda pendentes.</t>
        </is>
      </c>
      <c r="E25" t="inlineStr">
        <is>
          <t>anteriores/fundacao/banco-final.json; anteriores/integracao/integracao.json; anteriores/liquidacoes.json</t>
        </is>
      </c>
      <c r="F25" t="inlineStr">
        <is>
          <t>Pendente — não preenchido pelo executor</t>
        </is>
      </c>
    </row>
    <row r="26">
      <c r="A26" t="inlineStr">
        <is>
          <t>CT25</t>
        </is>
      </c>
      <c r="B26" t="inlineStr">
        <is>
          <t>Recorrência mensal substituída pelo título da mesma ocorrência</t>
        </is>
      </c>
      <c r="C26" t="inlineStr">
        <is>
          <t>Integralmente aprovado no perímetro isolado</t>
        </is>
      </c>
      <c r="D26" t="inlineStr">
        <is>
          <t>P3.000→R1.000+P2.000→P2.000 após pagamento conciliado. Ocorrência e vínculo imutáveis; reimportações documentadas preservam título e não recriam previsão ou caixa.</t>
        </is>
      </c>
      <c r="E26" t="inlineStr">
        <is>
          <t>banco.json; comparacao-integrais.json</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anteriores/integracao/integracao.json; ../../etapa7-calculos/evidencias/comparacao-integrais.json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../../etapa7-calculos/evidencias/regressao-81.log;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anteriores/componentes.log; anteriores/liquidacoes.json</t>
        </is>
      </c>
      <c r="F29" t="inlineStr">
        <is>
          <t>Pendente — não preenchido pelo executor</t>
        </is>
      </c>
    </row>
    <row r="30">
      <c r="A30" t="inlineStr">
        <is>
          <t>CT29</t>
        </is>
      </c>
      <c r="B30" t="inlineStr">
        <is>
          <t>Disponibilidade restrições e financiamento contado uma vez</t>
        </is>
      </c>
      <c r="C30" t="inlineStr">
        <is>
          <t>Parcialmente coberto</t>
        </is>
      </c>
      <c r="D30" t="inlineStr">
        <is>
          <t>Oráculo puro completo: banco120.000−restrição20.000=100.000 disponível; finais40.000/−30.000; necessidade50.000. Limite não sacado70.000 não entra; amortização20.000 já incluída não é repetida. Agenda integral de financiamento persistido/documentos reais ainda não homologada.</t>
        </is>
      </c>
      <c r="E30" t="inlineStr">
        <is>
          <t>componentes-casos.json; comparacao-componentes.json</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anteriores/liquidacoes.json; ../../etapa7-calculos/evidencias/comparacao-integrais.json</t>
        </is>
      </c>
      <c r="F31" t="inlineStr">
        <is>
          <t>Pendente — não preenchido pelo executor</t>
        </is>
      </c>
    </row>
  </sheetData>
  <autoFilter ref="A1:F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5" customWidth="1" min="2" max="2"/>
    <col width="45" customWidth="1" min="3" max="3"/>
    <col width="45" customWidth="1" min="4" max="4"/>
    <col width="90" customWidth="1" min="5" max="5"/>
    <col width="90" customWidth="1" min="6" max="6"/>
    <col width="90" customWidth="1" min="7" max="7"/>
    <col width="90" customWidth="1" min="8" max="8"/>
    <col width="90" customWidth="1" min="9" max="9"/>
    <col width="90" customWidth="1" min="10" max="10"/>
  </cols>
  <sheetData>
    <row r="1">
      <c r="A1" t="inlineStr">
        <is>
          <t>Caso</t>
        </is>
      </c>
      <c r="B1" t="inlineStr">
        <is>
          <t>Regra</t>
        </is>
      </c>
      <c r="C1" t="inlineStr">
        <is>
          <t>Classificação Etapa8</t>
        </is>
      </c>
      <c r="D1" t="inlineStr">
        <is>
          <t>Classificação Etapa9</t>
        </is>
      </c>
      <c r="E1" t="inlineStr">
        <is>
          <t>Esperado fixo (centavos)</t>
        </is>
      </c>
      <c r="F1" t="inlineStr">
        <is>
          <t>Obtido (centavos/null)</t>
        </is>
      </c>
      <c r="G1" t="inlineStr">
        <is>
          <t>Observado</t>
        </is>
      </c>
      <c r="H1" t="inlineStr">
        <is>
          <t>Pendência específica</t>
        </is>
      </c>
      <c r="I1" t="inlineStr">
        <is>
          <t>Evidência</t>
        </is>
      </c>
      <c r="J1" t="inlineStr">
        <is>
          <t>Aceite financeiro</t>
        </is>
      </c>
    </row>
    <row r="2">
      <c r="A2" t="inlineStr">
        <is>
          <t>CT01</t>
        </is>
      </c>
      <c r="B2" t="inlineStr">
        <is>
          <t>§4, §14 item 1, I03, I22</t>
        </is>
      </c>
      <c r="C2" t="inlineStr">
        <is>
          <t>Integralmente aprovado no perímetro isolado</t>
        </is>
      </c>
      <c r="D2" t="inlineStr">
        <is>
          <t>Conforme técnico herdado — conferência independente pendente</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Banco/importação: 3 repetições, recorte parcial, identidade, 30.000 abertos.</t>
        </is>
      </c>
      <c r="H2" t="inlineStr">
        <is>
          <t>Revisar a evidência documental e o perímetro; controles herdados não certificam dados reais, custo econômico nem extrato independente.</t>
        </is>
      </c>
      <c r="I2" t="inlineStr">
        <is>
          <t>reexecucao/casos-obtidos.json; reexecucao/comparacao-integrais.json</t>
        </is>
      </c>
      <c r="J2" t="inlineStr">
        <is>
          <t>Pendente — responsável não identificado; nenhum aceite registrado</t>
        </is>
      </c>
    </row>
    <row r="3">
      <c r="A3" t="inlineStr">
        <is>
          <t>CT02</t>
        </is>
      </c>
      <c r="B3" t="inlineStr">
        <is>
          <t>§3, §4, §10, I03</t>
        </is>
      </c>
      <c r="C3" t="inlineStr">
        <is>
          <t>Parcialmente coberto</t>
        </is>
      </c>
      <c r="D3" t="inlineStr">
        <is>
          <t>Parcialmente coberto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Histórico em função pura passa nos T/K exatos, e reimportação/revisão passam nos controles anteriores, separadamente.</t>
        </is>
      </c>
      <c r="H3" t="inlineStr">
        <is>
          <t>Falta unir a reimportação real, autorização do acréscimo e consultas persistidas dos três cortes T/K da fixture numa cadeia documental reproduzível.</t>
        </is>
      </c>
      <c r="I3" t="inlineStr">
        <is>
          <t>componentes-adicionais.json; comparacao-componentes-adicionais.json</t>
        </is>
      </c>
      <c r="J3" t="inlineStr">
        <is>
          <t>Pendente — responsável não identificado; nenhum aceite registrado</t>
        </is>
      </c>
    </row>
    <row r="4">
      <c r="A4" t="inlineStr">
        <is>
          <t>CT03</t>
        </is>
      </c>
      <c r="B4" t="inlineStr">
        <is>
          <t>§5, §8.1, I02, I03</t>
        </is>
      </c>
      <c r="C4" t="inlineStr">
        <is>
          <t>Parcialmente coberto</t>
        </is>
      </c>
      <c r="D4" t="inlineStr">
        <is>
          <t>Parcialmente coberto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null}</t>
        </is>
      </c>
      <c r="G4" t="inlineStr">
        <is>
          <t>Dois pagamentos e extrato fixo independente passam: aberto7.000→5.000; duas saídas somam5.000; conciliar/reimportar cria zero caixa.</t>
        </is>
      </c>
      <c r="H4" t="inlineStr">
        <is>
          <t>Falta evento econômico persistido anterior e leitura de I01 antes/depois. O campo de custo adicional é null; não presumir zero por ausência de evento na fixture.</t>
        </is>
      </c>
      <c r="I4" t="inlineStr">
        <is>
          <t>banco.json; registros.json; ponte.json; extratos-referencia.json</t>
        </is>
      </c>
      <c r="J4" t="inlineStr">
        <is>
          <t>Pendente — responsável não identificado; nenhum aceite registrado</t>
        </is>
      </c>
    </row>
    <row r="5">
      <c r="A5" t="inlineStr">
        <is>
          <t>CT04</t>
        </is>
      </c>
      <c r="B5" t="inlineStr">
        <is>
          <t>§3, I01, I02, I06, I07</t>
        </is>
      </c>
      <c r="C5" t="inlineStr">
        <is>
          <t>Parcialmente coberto</t>
        </is>
      </c>
      <c r="D5" t="inlineStr">
        <is>
          <t>Parcialmente coberto</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Oráculo puro de competência/datas e limites30/90 passa.</t>
        </is>
      </c>
      <c r="H5" t="inlineStr">
        <is>
          <t>Falta encadear serviço aceito de setembro, emissão5/10, título/pagamento22 e confirmação24 em persistência/relatórios com relógio controlado; não confundir conciliação com novo caixa.</t>
        </is>
      </c>
      <c r="I5" t="inlineStr">
        <is>
          <t>reexecucao/casos-componentes.json; reexecucao/comparacao-componentes.json</t>
        </is>
      </c>
      <c r="J5" t="inlineStr">
        <is>
          <t>Pendente — responsável não identificado; nenhum aceite registrado</t>
        </is>
      </c>
    </row>
    <row r="6">
      <c r="A6" t="inlineStr">
        <is>
          <t>CT05</t>
        </is>
      </c>
      <c r="B6" t="inlineStr">
        <is>
          <t>§7.1, §8.2, §12.1, I05, I09, I10, I12, I13</t>
        </is>
      </c>
      <c r="C6" t="inlineStr">
        <is>
          <t>Parcialmente coberto</t>
        </is>
      </c>
      <c r="D6" t="inlineStr">
        <is>
          <t>Parcialmente coberto</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Crédito AP pago, aplicação e reversão passam no ledger existente.</t>
        </is>
      </c>
      <c r="H6" t="inlineStr">
        <is>
          <t>Faltam estados A–E com contrato/medição econômica aceita e ETC comprovado, vinculados ao mesmo escopo e extrato independente. Não obter custo da assinatura ou adiantamento.</t>
        </is>
      </c>
      <c r="I6" t="inlineStr">
        <is>
          <t>reexecucao/execucoes.json; ../../etapa8-fluxo/CENARIOS-30.md</t>
        </is>
      </c>
      <c r="J6" t="inlineStr">
        <is>
          <t>Pendente — responsável não identificado; nenhum aceite registrado</t>
        </is>
      </c>
    </row>
    <row r="7">
      <c r="A7" t="inlineStr">
        <is>
          <t>CT06</t>
        </is>
      </c>
      <c r="B7" t="inlineStr">
        <is>
          <t>§8.2, I03, I05, I08, I10, I12</t>
        </is>
      </c>
      <c r="C7" t="inlineStr">
        <is>
          <t>Parcialmente coberto</t>
        </is>
      </c>
      <c r="D7" t="inlineStr">
        <is>
          <t>Parcialmente coberto</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Componentes manuais85.000/5.000/10.000 e extratos fixos conservam100.000; aberto15.000→10.000→0.</t>
        </is>
      </c>
      <c r="H7" t="inlineStr">
        <is>
          <t>Faltam pai econômico/documental único, geração nativa dos filhos/credores, cobertura C/Q, custo econômico e liberação condicionada da retenção. Campos C/Q/custo desconhecidos permanecem null.</t>
        </is>
      </c>
      <c r="I7" t="inlineStr">
        <is>
          <t>banco.json; registros.json; ponte.json; extratos-referencia.json</t>
        </is>
      </c>
      <c r="J7" t="inlineStr">
        <is>
          <t>Pendente — responsável não identificado; nenhum aceite registrado</t>
        </is>
      </c>
    </row>
    <row r="8">
      <c r="A8" t="inlineStr">
        <is>
          <t>CT07</t>
        </is>
      </c>
      <c r="B8" t="inlineStr">
        <is>
          <t>§5, §8.3, §12.3, I02, I03, I10</t>
        </is>
      </c>
      <c r="C8" t="inlineStr">
        <is>
          <t>Integralmente aprovado no perímetro isolado</t>
        </is>
      </c>
      <c r="D8" t="inlineStr">
        <is>
          <t>Conforme técnico herdado — conferência independente pendente</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Sequência aprovada: 40.000 + 55.000 principal + 2.000 juros − 5.000 desconto; caixa 97.000, saldo 0. Exemplo 30/70 e tela AP passam.</t>
        </is>
      </c>
      <c r="H8" t="inlineStr">
        <is>
          <t>Revisar a evidência documental e o perímetro; controles herdados não certificam dados reais, custo econômico nem extrato independente.</t>
        </is>
      </c>
      <c r="I8" t="inlineStr">
        <is>
          <t>reexecucao/casos-obtidos.json; reexecucao/comparacao-integrais.json</t>
        </is>
      </c>
      <c r="J8" t="inlineStr">
        <is>
          <t>Pendente — responsável não identificado; nenhum aceite registrado</t>
        </is>
      </c>
    </row>
    <row r="9">
      <c r="A9" t="inlineStr">
        <is>
          <t>CT08</t>
        </is>
      </c>
      <c r="B9" t="inlineStr">
        <is>
          <t>§8.3, §12.3, I02, I03</t>
        </is>
      </c>
      <c r="C9" t="inlineStr">
        <is>
          <t>Integralmente aprovado no perímetro isolado</t>
        </is>
      </c>
      <c r="D9" t="inlineStr">
        <is>
          <t>Conforme técnico herdado — conferência independente pendente</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Variantes A/B/C: R 57.000/62.000; devolução 57.000 somente com prova fictícia; sem devolução, 57.000 pendentes sem reescrever caixa.</t>
        </is>
      </c>
      <c r="H9" t="inlineStr">
        <is>
          <t>Revisar a evidência documental e o perímetro; controles herdados não certificam dados reais, custo econômico nem extrato independente.</t>
        </is>
      </c>
      <c r="I9" t="inlineStr">
        <is>
          <t>reexecucao/casos-obtidos.json; reexecucao/comparacao-integrais.json</t>
        </is>
      </c>
      <c r="J9" t="inlineStr">
        <is>
          <t>Pendente — responsável não identificado; nenhum aceite registrado</t>
        </is>
      </c>
    </row>
    <row r="10">
      <c r="A10" t="inlineStr">
        <is>
          <t>CT09</t>
        </is>
      </c>
      <c r="B10" t="inlineStr">
        <is>
          <t>§7.2, §8.3, I01, I03, I04, I05</t>
        </is>
      </c>
      <c r="C10" t="inlineStr">
        <is>
          <t>Parcialmente coberto</t>
        </is>
      </c>
      <c r="D10" t="inlineStr">
        <is>
          <t>Parcialmente coberto</t>
        </is>
      </c>
      <c r="E10" t="inlineStr">
        <is>
          <t>{"before_invoice_I03_cents": 0, "before_invoice_I04_cents": 800000, "final_I03_cents": 800000, "final_I04_cents": 0, "final_R_cents": 800000, "cost_cents": 800000, "cash_cents": 0, "active_financial_representations": 1}</t>
        </is>
      </c>
      <c r="F10" t="inlineStr">
        <is>
          <t>null</t>
        </is>
      </c>
      <c r="G10" t="inlineStr">
        <is>
          <t>Cobertura nativa nota/parcela/medição elimina sobreposição em componentes.</t>
        </is>
      </c>
      <c r="H10" t="inlineStr">
        <is>
          <t>Falta executar MED-01→NF-01→NF-02 com cancelamento exclusivamente documental, I04→I03, um único custo e representação ativa, mantendo todas as versões.</t>
        </is>
      </c>
      <c r="I10" t="inlineStr">
        <is>
          <t>reexecucao/execucoes.json; ../../etapa8-fluxo/CENARIOS-30.md</t>
        </is>
      </c>
      <c r="J10" t="inlineStr">
        <is>
          <t>Pendente — responsável não identificado; nenhum aceite registrado</t>
        </is>
      </c>
    </row>
    <row r="11">
      <c r="A11" t="inlineStr">
        <is>
          <t>CT10</t>
        </is>
      </c>
      <c r="B11" t="inlineStr">
        <is>
          <t>§7.1, §8.3, I02, I09, I10, I12</t>
        </is>
      </c>
      <c r="C11" t="inlineStr">
        <is>
          <t>Não executado</t>
        </is>
      </c>
      <c r="D11" t="inlineStr">
        <is>
          <t>Reprovado — restituição não representada</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null, "after_cancellation_H_imputable_to_current_price_cents": null, "after_cancellation_C_cents": null, "after_cancellation_R_cents": 0, "after_cancellation_Q_cents": null, "refund_right_before_receipt_cents": 0, "refund_right_after_receipt_cents": null, "historical_gross_outflow_cents": 1000000, "confirmed_refund_cents": 600000, "net_outflow_cents": 400000, "cost_cents": null}</t>
        </is>
      </c>
      <c r="G11" t="inlineStr">
        <is>
          <t>Cancelamento contratual não gera crédito de restituição; direito registrado0 versus10.000 esperado. Caminho de estorno com devolução6.000 preserva caixa líquido4.000 mas reabre AP10.000. V/H/C/Q/custo e direito remanescente sem prova própria ficam null.</t>
        </is>
      </c>
      <c r="H11" t="inlineStr">
        <is>
          <t>Criar conversão documentada e autorizada do adiantamento em direito de restituição vinculado ao cancelamento econômico; retirar cobertura do preço cancelado, liquidar somente6.000 do direito e conservar4.000, sem reabrir AP nem apagar saída original. Não implementado nesta homologação.</t>
        </is>
      </c>
      <c r="I11" t="inlineStr">
        <is>
          <t>banco.json; registros.json; ponte.json; extratos-referencia.json</t>
        </is>
      </c>
      <c r="J11" t="inlineStr">
        <is>
          <t>Pendente — responsável não identificado; nenhum aceite registrado</t>
        </is>
      </c>
    </row>
    <row r="12">
      <c r="A12" t="inlineStr">
        <is>
          <t>CT11</t>
        </is>
      </c>
      <c r="B12" t="inlineStr">
        <is>
          <t>§9, §12.5, I01, I02, I22</t>
        </is>
      </c>
      <c r="C12" t="inlineStr">
        <is>
          <t>Parcialmente coberto</t>
        </is>
      </c>
      <c r="D12" t="inlineStr">
        <is>
          <t>Parcialmente coberto</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Oráculo puro60/40 e maior resto passa no centavo; saída1.800/1.200. Importação marca multi_project_requires_ledger.</t>
        </is>
      </c>
      <c r="H12" t="inlineStr">
        <is>
          <t>Falta ledger persistido multiobra na mesma entidade, versão/aprovador, pagamento parcial e devolução por obra; não promover quarentena a rateio concluído. Consumidor puro não transporta project_id e exige conferir contexto completo.</t>
        </is>
      </c>
      <c r="I12" t="inlineStr">
        <is>
          <t>componentes-adicionais.json; comparacao-componentes-adicionais.json</t>
        </is>
      </c>
      <c r="J12" t="inlineStr">
        <is>
          <t>Pendente — responsável não identificado; nenhum aceite registrado</t>
        </is>
      </c>
    </row>
    <row r="13">
      <c r="A13" t="inlineStr">
        <is>
          <t>CT12</t>
        </is>
      </c>
      <c r="B13" t="inlineStr">
        <is>
          <t>§9, §11, I01, I02, I03, I22, D01</t>
        </is>
      </c>
      <c r="C13" t="inlineStr">
        <is>
          <t>Integralmente aprovado no perímetro isolado</t>
        </is>
      </c>
      <c r="D13" t="inlineStr">
        <is>
          <t>Conforme técnico herdado — conferência independente pendente</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H13" t="inlineStr">
        <is>
          <t>Revisar a evidência documental e o perímetro; controles herdados não certificam dados reais, custo econômico nem extrato independente.</t>
        </is>
      </c>
      <c r="I13" t="inlineStr">
        <is>
          <t>reexecucao/casos-obtidos.json; reexecucao/comparacao-integrais.json</t>
        </is>
      </c>
      <c r="J13" t="inlineStr">
        <is>
          <t>Pendente — responsável não identificado; nenhum aceite registrado</t>
        </is>
      </c>
    </row>
    <row r="14">
      <c r="A14" t="inlineStr">
        <is>
          <t>CT13</t>
        </is>
      </c>
      <c r="B14" t="inlineStr">
        <is>
          <t>§8.5, I16, I17, I19</t>
        </is>
      </c>
      <c r="C14" t="inlineStr">
        <is>
          <t>Parcialmente coberto</t>
        </is>
      </c>
      <c r="D14" t="inlineStr">
        <is>
          <t>Conforme no cenário isolado — pendente aceite</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Todos os campos passam com títulos/encargo/recebimentos reais no banco isolado e extrato fixo: aberto86.120, vencido6.120, recebido14.000, coorte30%.</t>
        </is>
      </c>
      <c r="H14" t="inlineStr">
        <is>
          <t>Lacuna numérica da fixture resolvida neste perímetro. Permanecem Auth/navegador, dados reais/documentos e aprovação nominal D09; não bloqueiam o resultado fictício registrado.</t>
        </is>
      </c>
      <c r="I14" t="inlineStr">
        <is>
          <t>banco.json; registros.json; ponte.json; extratos-referencia.json</t>
        </is>
      </c>
      <c r="J14" t="inlineStr">
        <is>
          <t>Pendente — responsável não identificado; nenhum aceite registrado</t>
        </is>
      </c>
    </row>
    <row r="15">
      <c r="A15" t="inlineStr">
        <is>
          <t>CT14</t>
        </is>
      </c>
      <c r="B15" t="inlineStr">
        <is>
          <t>§8.5, §12.4, I16, I17</t>
        </is>
      </c>
      <c r="C15" t="inlineStr">
        <is>
          <t>Parcialmente coberto</t>
        </is>
      </c>
      <c r="D15" t="inlineStr">
        <is>
          <t>Conforme no cenário isolado — pendente aceite</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Tarifa: liquida10.000, banco9.800, tarifa200 e aberto0. Permuta separada: liquida100.000, caixa30.000 e bem70.000. Extratos fixos conferidos.</t>
        </is>
      </c>
      <c r="H15" t="inlineStr">
        <is>
          <t>Lacuna numérica das duas variantes resolvida no ledger isolado. Bem/documento são fictícios, não avaliação patrimonial real nem aceite do contador; canal operacional de anexos/avaliação continua fora deste teste.</t>
        </is>
      </c>
      <c r="I15" t="inlineStr">
        <is>
          <t>banco.json; registros.json; ponte.json; extratos-referencia.json</t>
        </is>
      </c>
      <c r="J15" t="inlineStr">
        <is>
          <t>Pendente — responsável não identificado; nenhum aceite registrado</t>
        </is>
      </c>
    </row>
    <row r="16">
      <c r="A16" t="inlineStr">
        <is>
          <t>CT15</t>
        </is>
      </c>
      <c r="B16" t="inlineStr">
        <is>
          <t>§8.6, §12.7, I02, I17, I20</t>
        </is>
      </c>
      <c r="C16" t="inlineStr">
        <is>
          <t>Integralmente aprovado no perímetro isolado</t>
        </is>
      </c>
      <c r="D16" t="inlineStr">
        <is>
          <t>Conforme técnico herdado — conferência independente pendente</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Aberturas 50.000/10.000 comprovadas na fixture. Dia20: banco39.985 + trânsito20.000; dia21: banco59.985 e trânsito0. Tarifa15 é única saída externa. Pontas e tarifa vinculadas a extratos fictícios.</t>
        </is>
      </c>
      <c r="H16" t="inlineStr">
        <is>
          <t>Revisar a evidência documental e o perímetro; controles herdados não certificam dados reais, custo econômico nem extrato independente.</t>
        </is>
      </c>
      <c r="I16" t="inlineStr">
        <is>
          <t>reexecucao/casos-obtidos.json; reexecucao/comparacao-integrais.json</t>
        </is>
      </c>
      <c r="J16" t="inlineStr">
        <is>
          <t>Pendente — responsável não identificado; nenhum aceite registrado</t>
        </is>
      </c>
    </row>
    <row r="17">
      <c r="A17" t="inlineStr">
        <is>
          <t>CT16</t>
        </is>
      </c>
      <c r="B17" t="inlineStr">
        <is>
          <t>§4, §8.6, I20, I21, D13</t>
        </is>
      </c>
      <c r="C17" t="inlineStr">
        <is>
          <t>Integralmente aprovado no perímetro isolado</t>
        </is>
      </c>
      <c r="D17" t="inlineStr">
        <is>
          <t>Conforme técnico herdado — conferência independente pendente</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Mútuo documentado20.000: A/B fecham30.000 cada. Consolidado autorizado60.000; zero fluxo externo do mútuo; registros individuais preservados. Natureza/direitos no evento, sem presumir DFC contábil ou criar receita/custo.</t>
        </is>
      </c>
      <c r="H17" t="inlineStr">
        <is>
          <t>Revisar a evidência documental e o perímetro; controles herdados não certificam dados reais, custo econômico nem extrato independente.</t>
        </is>
      </c>
      <c r="I17" t="inlineStr">
        <is>
          <t>reexecucao/casos-obtidos.json; reexecucao/comparacao-integrais.json</t>
        </is>
      </c>
      <c r="J17" t="inlineStr">
        <is>
          <t>Pendente — responsável não identificado; nenhum aceite registrado</t>
        </is>
      </c>
    </row>
    <row r="18">
      <c r="A18" t="inlineStr">
        <is>
          <t>CT17</t>
        </is>
      </c>
      <c r="B18" t="inlineStr">
        <is>
          <t>§3, §7.2, §10, I06, I12, I14, I19, I21</t>
        </is>
      </c>
      <c r="C18" t="inlineStr">
        <is>
          <t>Integralmente aprovado no perímetro isolado</t>
        </is>
      </c>
      <c r="D18" t="inlineStr">
        <is>
          <t>Conforme técnico herdado — conferência independente pendente</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Versões persistidas e fontes congeladas. Original130.000/80.000/40.000; reprogramado80.000/−10.000/40.000; necessidade0→30.000. Vencimentos permanecem até acordo separado; variante de renegociação e posição anterior passam. Incorrido20.000 é fato fixo da fixture.</t>
        </is>
      </c>
      <c r="H18" t="inlineStr">
        <is>
          <t>Revisar a evidência documental e o perímetro; controles herdados não certificam dados reais, custo econômico nem extrato independente.</t>
        </is>
      </c>
      <c r="I18" t="inlineStr">
        <is>
          <t>reexecucao/casos-obtidos.json; reexecucao/comparacao-integrais.json</t>
        </is>
      </c>
      <c r="J18" t="inlineStr">
        <is>
          <t>Pendente — responsável não identificado; nenhum aceite registrado</t>
        </is>
      </c>
    </row>
    <row r="19">
      <c r="A19" t="inlineStr">
        <is>
          <t>CT18</t>
        </is>
      </c>
      <c r="B19" t="inlineStr">
        <is>
          <t>§7.1, §7.2, I05, I10, I11, I12</t>
        </is>
      </c>
      <c r="C19" t="inlineStr">
        <is>
          <t>Parcialmente coberto</t>
        </is>
      </c>
      <c r="D19" t="inlineStr">
        <is>
          <t>Parcialmente coberto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Estados A–F passam no núcleo puro; P→C e vínculo nativo foram persistidos em controles separados.</t>
        </is>
      </c>
      <c r="H19" t="inlineStr">
        <is>
          <t>Falta cadeia única persistida de100.000 P→60.000 C+40.000 P→título20.000→pagamento5.000 e AF2.000 constituído em20/11, retirando o mesmo AF sem repetir encargo.</t>
        </is>
      </c>
      <c r="I19" t="inlineStr">
        <is>
          <t>reexecucao/casos-componentes.json; reexecucao/comparacao-componentes.json</t>
        </is>
      </c>
      <c r="J19" t="inlineStr">
        <is>
          <t>Pendente — responsável não identificado; nenhum aceite registrado</t>
        </is>
      </c>
    </row>
    <row r="20">
      <c r="A20" t="inlineStr">
        <is>
          <t>CT19</t>
        </is>
      </c>
      <c r="B20" t="inlineStr">
        <is>
          <t>§8.4, §12.6, I01, I13, I14, I15</t>
        </is>
      </c>
      <c r="C20" t="inlineStr">
        <is>
          <t>Parcialmente coberto</t>
        </is>
      </c>
      <c r="D20" t="inlineStr">
        <is>
          <t>Parcialmente coberto</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Oráculo econômico puro: incorrido450.000; ETC800.000; EAC1.250.000; desvio25%; proposta não firme.</t>
        </is>
      </c>
      <c r="H20" t="inlineStr">
        <is>
          <t>Falta rastrear aprovação/vigência do aditivo50.000 e reestimativa350.000 até orçamento original/vigente persistidos, conferindo cenário de risco40.000. Não afirmar Q sem histórico de pagamentos.</t>
        </is>
      </c>
      <c r="I20" t="inlineStr">
        <is>
          <t>reexecucao/casos-componentes.json; reexecucao/comparacao-componentes.json</t>
        </is>
      </c>
      <c r="J20" t="inlineStr">
        <is>
          <t>Pendente — responsável não identificado; nenhum aceite registrado</t>
        </is>
      </c>
    </row>
    <row r="21">
      <c r="A21" t="inlineStr">
        <is>
          <t>CT20</t>
        </is>
      </c>
      <c r="B21" t="inlineStr">
        <is>
          <t>§3, §10, I01, I02, D11</t>
        </is>
      </c>
      <c r="C21" t="inlineStr">
        <is>
          <t>Parcialmente coberto</t>
        </is>
      </c>
      <c r="D21" t="inlineStr">
        <is>
          <t>Parcialmente coberto</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Bloqueios de período bancário e contra reimportação fechada passam.</t>
        </is>
      </c>
      <c r="H21" t="inlineStr">
        <is>
          <t>Faltam fechamento econômico setembro500.000, retificação aprovada30.000 e consultas T30/09 em K original/reapresentado530.000, com ponte e banco outubro30.000. Versão de caixa não substitui fechamento econômico.</t>
        </is>
      </c>
      <c r="I21" t="inlineStr">
        <is>
          <t>reexecucao/execucoes.json; ../../etapa8-fluxo/CENARIOS-30.md</t>
        </is>
      </c>
      <c r="J21" t="inlineStr">
        <is>
          <t>Pendente — responsável não identificado; nenhum aceite registrado</t>
        </is>
      </c>
    </row>
    <row r="22">
      <c r="A22" t="inlineStr">
        <is>
          <t>CT21</t>
        </is>
      </c>
      <c r="B22" t="inlineStr">
        <is>
          <t>§7.2, §11, I12, I14, I15, I22</t>
        </is>
      </c>
      <c r="C22" t="inlineStr">
        <is>
          <t>Parcialmente coberto</t>
        </is>
      </c>
      <c r="D22" t="inlineStr">
        <is>
          <t>Parcialmente coberto</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Função pura preserva Q/EAC/desvio/cobertura null; não soma140.000+840.000 como total confiável.</t>
        </is>
      </c>
      <c r="H22" t="inlineStr">
        <is>
          <t>Falta obter composição idêntica de dashboard/exportação/IA no mesmo T/K e teste de exceção condicionada sem apagar lacunas; universo externo continua desconhecido.</t>
        </is>
      </c>
      <c r="I22" t="inlineStr">
        <is>
          <t>reexecucao/casos-componentes.json; reexecucao/comparacao-componentes.json</t>
        </is>
      </c>
      <c r="J22" t="inlineStr">
        <is>
          <t>Pendente — responsável não identificado; nenhum aceite registrado</t>
        </is>
      </c>
    </row>
    <row r="23">
      <c r="A23" t="inlineStr">
        <is>
          <t>CT22</t>
        </is>
      </c>
      <c r="B23" t="inlineStr">
        <is>
          <t>§8.2, §8.5, I09, I16, I17, I18</t>
        </is>
      </c>
      <c r="C23" t="inlineStr">
        <is>
          <t>Parcialmente coberto</t>
        </is>
      </c>
      <c r="D23" t="inlineStr">
        <is>
          <t>Parcialmente coberto</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Banco20.000, crédito20.000→0, parcela aberta20.000 e zero caixa na aplicação; contraparte/contrato identificados.</t>
        </is>
      </c>
      <c r="H23" t="inlineStr">
        <is>
          <t>Falta mapa automático exclusivo de contrato100.000/parcela40.000/antecipação20.000 para futuro60.000 e I18=80.000, e prova de ausência de receita econômica automática. Esses três resultados continuam null.</t>
        </is>
      </c>
      <c r="I23" t="inlineStr">
        <is>
          <t>banco.json; registros.json; ponte.json; extratos-referencia.json</t>
        </is>
      </c>
      <c r="J23" t="inlineStr">
        <is>
          <t>Pendente — responsável não identificado; nenhum aceite registrado</t>
        </is>
      </c>
    </row>
    <row r="24">
      <c r="A24" t="inlineStr">
        <is>
          <t>CT23</t>
        </is>
      </c>
      <c r="B24" t="inlineStr">
        <is>
          <t>§4, §8.1, I02, I03</t>
        </is>
      </c>
      <c r="C24" t="inlineStr">
        <is>
          <t>Integralmente aprovado no perímetro isolado</t>
        </is>
      </c>
      <c r="D24" t="inlineStr">
        <is>
          <t>Conforme no cenário isolado — pendente aceite</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Refeito com entradas exatas A8.000/B12.000, alocações4.000/6.000 e4.000/2.000, e dois débitos fixos10.000/6.000. Todos os campos passam.</t>
        </is>
      </c>
      <c r="H24" t="inlineStr">
        <is>
          <t>Fixture anterior usava A10.000/B10.000 e primeira alocação6.000/4.000, embora produzisse os mesmos saldos. Evidência anterior não comprovava as entradas exatas; corrigido no teste novo sem alterar operação/expected.</t>
        </is>
      </c>
      <c r="I24" t="inlineStr">
        <is>
          <t>banco.json; registros.json; ponte.json; extratos-referencia.json</t>
        </is>
      </c>
      <c r="J24" t="inlineStr">
        <is>
          <t>Pendente — responsável não identificado; nenhum aceite registrado</t>
        </is>
      </c>
    </row>
    <row r="25">
      <c r="A25" t="inlineStr">
        <is>
          <t>CT24</t>
        </is>
      </c>
      <c r="B25" t="inlineStr">
        <is>
          <t>§4, §11, §14 item 13, D02, D13</t>
        </is>
      </c>
      <c r="C25" t="inlineStr">
        <is>
          <t>Parcialmente coberto</t>
        </is>
      </c>
      <c r="D25" t="inlineStr">
        <is>
          <t>Parcialmente coberto</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null</t>
        </is>
      </c>
      <c r="G25" t="inlineStr">
        <is>
          <t>Controles SQL de organizações, entidades, perfis e propostas IA foram repetidos.</t>
        </is>
      </c>
      <c r="H25" t="inlineStr">
        <is>
          <t>Falta caso integral de três títulos nos contextos UA/UB/UR/UG, incluindo Auth real, detalhe, anexos/storage, exportações/IA, cache, jobs e trocas de contexto. Não extrapolar RLS SQL a todos os canais.</t>
        </is>
      </c>
      <c r="I25" t="inlineStr">
        <is>
          <t>reexecucao/execucoes.json; ../../etapa8-fluxo/CENARIOS-30.md</t>
        </is>
      </c>
      <c r="J25" t="inlineStr">
        <is>
          <t>Pendente — responsável não identificado; nenhum aceite registrado</t>
        </is>
      </c>
    </row>
    <row r="26">
      <c r="A26" t="inlineStr">
        <is>
          <t>CT25</t>
        </is>
      </c>
      <c r="B26" t="inlineStr">
        <is>
          <t>§8.4, §7.2, I03, I11, I12</t>
        </is>
      </c>
      <c r="C26" t="inlineStr">
        <is>
          <t>Integralmente aprovado no perímetro isolado</t>
        </is>
      </c>
      <c r="D26" t="inlineStr">
        <is>
          <t>Conforme técnico herdado — conferência independente pendente</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P3.000→R1.000+P2.000→P2.000 após pagamento conciliado. Ocorrência e vínculo imutáveis; reimportações documentadas preservam título e não recriam previsão ou caixa.</t>
        </is>
      </c>
      <c r="H26" t="inlineStr">
        <is>
          <t>Revisar a evidência documental e o perímetro; controles herdados não certificam dados reais, custo econômico nem extrato independente.</t>
        </is>
      </c>
      <c r="I26" t="inlineStr">
        <is>
          <t>reexecucao/casos-obtidos.json; reexecucao/comparacao-integrais.json</t>
        </is>
      </c>
      <c r="J26" t="inlineStr">
        <is>
          <t>Pendente — responsável não identificado; nenhum aceite registrado</t>
        </is>
      </c>
    </row>
    <row r="27">
      <c r="A27" t="inlineStr">
        <is>
          <t>CT26</t>
        </is>
      </c>
      <c r="B27" t="inlineStr">
        <is>
          <t>§2, §4, §11, I22, S2 §5</t>
        </is>
      </c>
      <c r="C27" t="inlineStr">
        <is>
          <t>Integralmente aprovado no perímetro isolado</t>
        </is>
      </c>
      <c r="D27" t="inlineStr">
        <is>
          <t>Conforme técnico herdado — conferência independente pendente</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Paginação completa, falha intermediária e retry passam.</t>
        </is>
      </c>
      <c r="H27" t="inlineStr">
        <is>
          <t>Revisar a evidência documental e o perímetro; controles herdados não certificam dados reais, custo econômico nem extrato independente.</t>
        </is>
      </c>
      <c r="I27" t="inlineStr">
        <is>
          <t>reexecucao/casos-obtidos.json; reexecucao/comparacao-integrais.json</t>
        </is>
      </c>
      <c r="J27" t="inlineStr">
        <is>
          <t>Pendente — responsável não identificado; nenhum aceite registrado</t>
        </is>
      </c>
    </row>
    <row r="28">
      <c r="A28" t="inlineStr">
        <is>
          <t>CT27</t>
        </is>
      </c>
      <c r="B28" t="inlineStr">
        <is>
          <t>§5, §7.1, I01, I10, I12, I13, I14</t>
        </is>
      </c>
      <c r="C28" t="inlineStr">
        <is>
          <t>Parcialmente coberto</t>
        </is>
      </c>
      <c r="D28" t="inlineStr">
        <is>
          <t>Parcialmente coberto</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Pagamento não é adotado como prova suficiente de execução econômica; componentes financeiros existentes reaproveitados.</t>
        </is>
      </c>
      <c r="H28" t="inlineStr">
        <is>
          <t>Faltam recebimento/estoque pago20.000 e consumo8.000 persistidos, conferindo estoque12.000, ETC12.000, EAC20.000, Q0 e zero novo caixa sem somar NF/recebimento/consumo.</t>
        </is>
      </c>
      <c r="I28" t="inlineStr">
        <is>
          <t>reexecucao/execucoes.json; ../../etapa8-fluxo/CENARIOS-30.md</t>
        </is>
      </c>
      <c r="J28" t="inlineStr">
        <is>
          <t>Pendente — responsável não identificado; nenhum aceite registrado</t>
        </is>
      </c>
    </row>
    <row r="29">
      <c r="A29" t="inlineStr">
        <is>
          <t>CT28</t>
        </is>
      </c>
      <c r="B29" t="inlineStr">
        <is>
          <t>§7.1, §12.2, I05, I08, I09, I10, I11, I12, I13, I14</t>
        </is>
      </c>
      <c r="C29" t="inlineStr">
        <is>
          <t>Parcialmente coberto</t>
        </is>
      </c>
      <c r="D29" t="inlineStr">
        <is>
          <t>Parcialmente coberto</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Ledger de adiantamento e componentes R/C/P funcionam separadamente.</t>
        </is>
      </c>
      <c r="H29" t="inlineStr">
        <is>
          <t>Falta cenário conjunto persistido: crédito120.000/aplicação60.000, pagamento100.000, filhos fornecedor/tributo/retenção, escopo P200.000 e custo300.000. Conferir Q1.180.000 e EAC1.400.000; nenhum total conjunto foi presumido.</t>
        </is>
      </c>
      <c r="I29" t="inlineStr">
        <is>
          <t>reexecucao/execucoes.json; ../../etapa8-fluxo/CENARIOS-30.md</t>
        </is>
      </c>
      <c r="J29" t="inlineStr">
        <is>
          <t>Pendente — responsável não identificado; nenhum aceite registrado</t>
        </is>
      </c>
    </row>
    <row r="30">
      <c r="A30" t="inlineStr">
        <is>
          <t>CT29</t>
        </is>
      </c>
      <c r="B30" t="inlineStr">
        <is>
          <t>§12.7, I20, I21, D04</t>
        </is>
      </c>
      <c r="C30" t="inlineStr">
        <is>
          <t>Parcialmente coberto</t>
        </is>
      </c>
      <c r="D30" t="inlineStr">
        <is>
          <t>Parcialmente coberto</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Oráculo puro completo passa: disponível100.000, finais40.000/−30.000 e necessidade50.000.</t>
        </is>
      </c>
      <c r="H30" t="inlineStr">
        <is>
          <t>Falta agenda persistida completa de financiamento com amortização20.000 já nos150.000, restrição documentada20.000 e limite70.000 não sacado, conferida no carregador/tela/IA no mesmo corte.</t>
        </is>
      </c>
      <c r="I30" t="inlineStr">
        <is>
          <t>reexecucao/casos-componentes.json; reexecucao/comparacao-componentes.json</t>
        </is>
      </c>
      <c r="J30" t="inlineStr">
        <is>
          <t>Pendente — responsável não identificado; nenhum aceite registrado</t>
        </is>
      </c>
    </row>
    <row r="31">
      <c r="A31" t="inlineStr">
        <is>
          <t>CT30</t>
        </is>
      </c>
      <c r="B31" t="inlineStr">
        <is>
          <t>§5, §8.1, I02, I03, I09</t>
        </is>
      </c>
      <c r="C31" t="inlineStr">
        <is>
          <t>Integralmente aprovado no perímetro isolado</t>
        </is>
      </c>
      <c r="D31" t="inlineStr">
        <is>
          <t>Conforme técnico herdado — conferência independente pendente</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1.200 não liquida silenciosamente 1.000: excesso 200 exige classificação/evidência. Saldo 0, crédito 200, replay 0 mutações.</t>
        </is>
      </c>
      <c r="H31" t="inlineStr">
        <is>
          <t>Revisar a evidência documental e o perímetro; controles herdados não certificam dados reais, custo econômico nem extrato independente.</t>
        </is>
      </c>
      <c r="I31" t="inlineStr">
        <is>
          <t>reexecucao/casos-obtidos.json; reexecucao/comparacao-integrais.json</t>
        </is>
      </c>
      <c r="J31" t="inlineStr">
        <is>
          <t>Pendente — responsável não identificado; nenhum aceite registrado</t>
        </is>
      </c>
    </row>
  </sheetData>
  <autoFilter ref="A1:J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3" max="3"/>
    <col width="65" customWidth="1" min="11" max="11"/>
    <col width="65" customWidth="1" min="12" max="12"/>
  </cols>
  <sheetData>
    <row r="1">
      <c r="A1" t="inlineStr">
        <is>
          <t>Caso</t>
        </is>
      </c>
      <c r="B1" t="inlineStr">
        <is>
          <t>Estado anterior</t>
        </is>
      </c>
      <c r="C1" t="inlineStr">
        <is>
          <t>Estado atual</t>
        </is>
      </c>
      <c r="D1" t="inlineStr">
        <is>
          <t>Saída bruta</t>
        </is>
      </c>
      <c r="E1" t="inlineStr">
        <is>
          <t>Restituído</t>
        </is>
      </c>
      <c r="F1" t="inlineStr">
        <is>
          <t>Líquido</t>
        </is>
      </c>
      <c r="G1" t="inlineStr">
        <is>
          <t>Direito aberto</t>
        </is>
      </c>
      <c r="H1" t="inlineStr">
        <is>
          <t>Custo</t>
        </is>
      </c>
      <c r="I1" t="inlineStr">
        <is>
          <t>Obrigação contratual</t>
        </is>
      </c>
      <c r="J1" t="inlineStr">
        <is>
          <t>AP reaberto</t>
        </is>
      </c>
      <c r="K1" t="inlineStr">
        <is>
          <t>Evidência</t>
        </is>
      </c>
      <c r="L1" t="inlineStr">
        <is>
          <t>Aceite financeiro</t>
        </is>
      </c>
    </row>
    <row r="2">
      <c r="A2" t="inlineStr">
        <is>
          <t>CT10</t>
        </is>
      </c>
      <c r="B2" t="inlineStr">
        <is>
          <t>Reprovado — restituição não representada</t>
        </is>
      </c>
      <c r="C2" t="inlineStr">
        <is>
          <t>Conforme no cenário isolado — pendente aceite</t>
        </is>
      </c>
      <c r="D2" t="n">
        <v>10000</v>
      </c>
      <c r="E2" t="n">
        <v>6000</v>
      </c>
      <c r="F2" t="n">
        <v>4000</v>
      </c>
      <c r="G2" t="n">
        <v>4000</v>
      </c>
      <c r="H2" t="n">
        <v>0</v>
      </c>
      <c r="I2" t="n">
        <v>0</v>
      </c>
      <c r="J2" t="n">
        <v>0</v>
      </c>
      <c r="K2" t="inlineStr">
        <is>
          <t>etapa10-ct10/evidencias/comparacao-ct10.json; banco.json</t>
        </is>
      </c>
      <c r="L2" t="inlineStr">
        <is>
          <t>Pendente — não preenchido pelo executor</t>
        </is>
      </c>
    </row>
  </sheetData>
  <autoFilter ref="A1:L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s>
  <sheetData>
    <row r="1">
      <c r="A1" s="36" t="inlineStr">
        <is>
          <t>Critério</t>
        </is>
      </c>
      <c r="B1" s="36" t="inlineStr">
        <is>
          <t>Resultado</t>
        </is>
      </c>
      <c r="C1" s="36" t="inlineStr">
        <is>
          <t>Evidência</t>
        </is>
      </c>
      <c r="D1" s="36" t="inlineStr">
        <is>
          <t>Pendência / condição de aceite</t>
        </is>
      </c>
    </row>
    <row r="2">
      <c r="A2" t="inlineStr">
        <is>
          <t>Confronto de registros</t>
        </is>
      </c>
      <c r="B2" t="inlineStr">
        <is>
          <t>3261/3261 iguais em ID/parcela/valor/vencimento/pagamento informado</t>
        </is>
      </c>
      <c r="C2" t="inlineStr">
        <is>
          <t>etapa11-reconciliacao/evidencias/registros.json</t>
        </is>
      </c>
      <c r="D2" t="inlineStr">
        <is>
          <t>Aceite técnico nominal não preenchido</t>
        </is>
      </c>
    </row>
    <row r="3">
      <c r="A3" t="inlineStr">
        <is>
          <t>Documentos</t>
        </is>
      </c>
      <c r="B3" t="inlineStr">
        <is>
          <t>2537 referências iguais; 724 substitutos KOPER onde F007 mostra -</t>
        </is>
      </c>
      <c r="C3" t="inlineStr">
        <is>
          <t>etapa11-reconciliacao/evidencias/Reconciliacao_F011_F007.xlsx</t>
        </is>
      </c>
      <c r="D3" t="inlineStr">
        <is>
          <t>Substituto não comprova NF/contrato/vínculo jurídico</t>
        </is>
      </c>
    </row>
    <row r="4">
      <c r="A4" t="inlineStr">
        <is>
          <t>Ponte de valores exibidos</t>
        </is>
      </c>
      <c r="B4" t="inlineStr">
        <is>
          <t>F011=linhas F007=13.710.826,32; cabeçalho F007=13.561.236,99</t>
        </is>
      </c>
      <c r="C4" t="inlineStr">
        <is>
          <t>etapa11-reconciliacao/evidencias/reconciliacao.json</t>
        </is>
      </c>
      <c r="D4" t="inlineStr">
        <is>
          <t>Residual financeiro149.589,33 sem causa comprovada</t>
        </is>
      </c>
    </row>
    <row r="5">
      <c r="A5" t="inlineStr">
        <is>
          <t>Localização do residual</t>
        </is>
      </c>
      <c r="B5" t="inlineStr">
        <is>
          <t>13.687.213,70 nas3255 linhas datadas menos13.537.624,37 no resumo Pago</t>
        </is>
      </c>
      <c r="C5" t="inlineStr">
        <is>
          <t>etapa11-reconciliacao/README.md</t>
        </is>
      </c>
      <c r="D5" t="inlineStr">
        <is>
          <t>Não alocar diferença a títulos por suposição</t>
        </is>
      </c>
    </row>
    <row r="6">
      <c r="A6" t="inlineStr">
        <is>
          <t>Causa raiz financeira</t>
        </is>
      </c>
      <c r="B6" t="inlineStr">
        <is>
          <t>Não verificável com os artefatos disponíveis</t>
        </is>
      </c>
      <c r="C6" t="inlineStr">
        <is>
          <t>etapa11-reconciliacao/README.md — fontes faltantes</t>
        </is>
      </c>
      <c r="D6" t="inlineStr">
        <is>
          <t>Exigir snapshot bruto/consulta/componentes/eventos no mesmoT/K</t>
        </is>
      </c>
    </row>
    <row r="7">
      <c r="A7" t="inlineStr">
        <is>
          <t>Testes offline</t>
        </is>
      </c>
      <c r="B7" t="inlineStr">
        <is>
          <t>12 diagnóstico +28 financeiros +81 regressão +142 suíte geral aprovados</t>
        </is>
      </c>
      <c r="C7" t="inlineStr">
        <is>
          <t>etapa11-reconciliacao/evidencias/*log</t>
        </is>
      </c>
      <c r="D7" t="inlineStr">
        <is>
          <t>Não representa nova execução dos controles25/24 nem homologação dos30</t>
        </is>
      </c>
    </row>
    <row r="8">
      <c r="A8" t="inlineStr">
        <is>
          <t>Estado T11/T44</t>
        </is>
      </c>
      <c r="B8" t="inlineStr">
        <is>
          <t>Mantidos Em validação / Em andamento</t>
        </is>
      </c>
      <c r="C8" t="inlineStr">
        <is>
          <t>Acompanhamento e verificação do quadro</t>
        </is>
      </c>
      <c r="D8" t="inlineStr">
        <is>
          <t>Dependências e aceites anteriores preservados</t>
        </is>
      </c>
    </row>
    <row r="9">
      <c r="A9" t="inlineStr">
        <is>
          <t>Correção</t>
        </is>
      </c>
      <c r="B9" t="inlineStr">
        <is>
          <t>Nenhuma implementada</t>
        </is>
      </c>
      <c r="C9" t="inlineStr">
        <is>
          <t>git diff e manifesto-entrega.json</t>
        </is>
      </c>
      <c r="D9" t="inlineStr">
        <is>
          <t>Causa e aprovação necessárias antes de implementar</t>
        </is>
      </c>
    </row>
    <row r="10">
      <c r="A10" t="inlineStr">
        <is>
          <t>Aceite financeiro</t>
        </is>
      </c>
      <c r="B10" t="inlineStr">
        <is>
          <t>Pendente — não preenchido pelo executor</t>
        </is>
      </c>
      <c r="C10" t="inlineStr">
        <is>
          <t>Todos os campos anteriores preservados</t>
        </is>
      </c>
      <c r="D10" t="inlineStr">
        <is>
          <t>Responsável financeiro</t>
        </is>
      </c>
    </row>
    <row r="11">
      <c r="A11" t="inlineStr">
        <is>
          <t>Produção/Koper</t>
        </is>
      </c>
      <c r="B11" t="inlineStr">
        <is>
          <t>Sem conexão financeira remota ou escrita</t>
        </is>
      </c>
      <c r="C11" t="inlineStr">
        <is>
          <t>manifesto-entrega.json</t>
        </is>
      </c>
      <c r="D11" t="inlineStr">
        <is>
          <t>T45 permanece Bloqueada</t>
        </is>
      </c>
    </row>
  </sheetData>
  <autoFilter ref="A1:D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65" customWidth="1" min="5" max="5"/>
    <col width="65" customWidth="1" min="6" max="6"/>
    <col width="65" customWidth="1" min="7" max="7"/>
    <col width="65" customWidth="1" min="9" max="9"/>
    <col width="65" customWidth="1" min="10" max="10"/>
    <col width="65" customWidth="1" min="11" max="11"/>
  </cols>
  <sheetData>
    <row r="1">
      <c r="A1" t="inlineStr">
        <is>
          <t>Caso</t>
        </is>
      </c>
      <c r="B1" t="inlineStr">
        <is>
          <t>Prioridade</t>
        </is>
      </c>
      <c r="C1" t="inlineStr">
        <is>
          <t>Classes</t>
        </is>
      </c>
      <c r="D1" t="inlineStr">
        <is>
          <t>Selecionado</t>
        </is>
      </c>
      <c r="E1" t="inlineStr">
        <is>
          <t>Estado técnico</t>
        </is>
      </c>
      <c r="F1" t="inlineStr">
        <is>
          <t>Causa demonstrada</t>
        </is>
      </c>
      <c r="G1" t="inlineStr">
        <is>
          <t>Dependências</t>
        </is>
      </c>
      <c r="H1" t="inlineStr">
        <is>
          <t>Esforço técnico estimado</t>
        </is>
      </c>
      <c r="I1" t="inlineStr">
        <is>
          <t>Critério objetivo</t>
        </is>
      </c>
      <c r="J1" t="inlineStr">
        <is>
          <t>Evidência</t>
        </is>
      </c>
      <c r="K1" t="inlineStr">
        <is>
          <t>Aceite financeiro</t>
        </is>
      </c>
    </row>
    <row r="2">
      <c r="A2" t="inlineStr">
        <is>
          <t>CT24</t>
        </is>
      </c>
      <c r="B2" t="n">
        <v>1</v>
      </c>
      <c r="C2" t="inlineStr">
        <is>
          <t>B/C/D</t>
        </is>
      </c>
      <c r="D2" t="inlineStr">
        <is>
          <t>Não</t>
        </is>
      </c>
      <c r="E2" t="inlineStr">
        <is>
          <t>Parcial — pendência técnica mantida</t>
        </is>
      </c>
      <c r="F2" t="inlineStr">
        <is>
          <t>Controles SQL existem, mas não há execução integral dos três títulos UA/UB/UR/UG em Auth, storage, cache, jobs, IA e exportação.</t>
        </is>
      </c>
      <c r="G2" t="inlineStr">
        <is>
          <t>T05/T42; Auth isolado e pipeline de todos os canais. Matriz nominal vigente só é necessária à implantação real.</t>
        </is>
      </c>
      <c r="H2" t="inlineStr">
        <is>
          <t>3–5 dias</t>
        </is>
      </c>
      <c r="I2" t="inlineStr">
        <is>
          <t>1.000/9.000 porUA/UB; UG1.000/3.000/4.000/9.000 nos perímetros; zero linhas estrangeiras, mutações indevidas e vazamentos, inclusive Auth/storage.</t>
        </is>
      </c>
      <c r="J2" t="inlineStr">
        <is>
          <t>etapa12-parciais/MATRIZ-16.md; evidencias/matriz-16.json</t>
        </is>
      </c>
      <c r="K2" t="inlineStr">
        <is>
          <t>Pendente — não registrado pelo executor</t>
        </is>
      </c>
    </row>
    <row r="3">
      <c r="A3" t="inlineStr">
        <is>
          <t>CT18</t>
        </is>
      </c>
      <c r="B3" t="n">
        <v>2</v>
      </c>
      <c r="C3" t="inlineStr">
        <is>
          <t>A/B</t>
        </is>
      </c>
      <c r="D3" t="inlineStr">
        <is>
          <t>Sim</t>
        </is>
      </c>
      <c r="E3" t="inlineStr">
        <is>
          <t>Cadeia fictícia persistida e comparação independente conforme; aceite pendente</t>
        </is>
      </c>
      <c r="F3" t="inlineStr">
        <is>
          <t>Sem vínculo persistido AF→encargo, futureCashRows mantém ambos; R17.000+C40.000+P40.000+AF2.000=99.000 contra97.000 esperado. RPC de versão anterior não admitia acréscimo documentado de AF.</t>
        </is>
      </c>
      <c r="G3" t="inlineStr">
        <is>
          <t>T26/T30; reutiliza ledger, cenários imutáveis e cobertura já existentes; nenhuma decisão financeira adicional para a fixture.</t>
        </is>
      </c>
      <c r="H3" t="inlineStr">
        <is>
          <t>1–2 dias</t>
        </is>
      </c>
      <c r="I3" t="inlineStr">
        <is>
          <t>Mesma cadeia A–F persistida; Q100.000→95.000→97.000; AF2.000→0; uma constituição sob replay/concorrência, versões preservadas e isolamento.</t>
        </is>
      </c>
      <c r="J3" t="inlineStr">
        <is>
          <t>etapa12-parciais/MATRIZ-16.md; evidencias/matriz-16.json</t>
        </is>
      </c>
      <c r="K3" t="inlineStr">
        <is>
          <t>Pendente — não registrado pelo executor</t>
        </is>
      </c>
    </row>
    <row r="4">
      <c r="A4" t="inlineStr">
        <is>
          <t>CT21</t>
        </is>
      </c>
      <c r="B4" t="n">
        <v>3</v>
      </c>
      <c r="C4" t="inlineStr">
        <is>
          <t>B/D/E</t>
        </is>
      </c>
      <c r="D4" t="inlineStr">
        <is>
          <t>Não</t>
        </is>
      </c>
      <c r="E4" t="inlineStr">
        <is>
          <t>Parcial — pendência técnica mantida</t>
        </is>
      </c>
      <c r="F4" t="inlineStr">
        <is>
          <t>Função pura conserva null, mas a composição completa dashboard/exportação/IA e eventual exceção condicionada não foi demonstrada. Universo desconhecido é limitação explícita, não erro a zerar.</t>
        </is>
      </c>
      <c r="G4" t="inlineStr">
        <is>
          <t>T38/T40/T41 e mapa R/C/P. D12 precisa definir exceções reais; a fixture já exige null, sem decisão nova para este comportamento.</t>
        </is>
      </c>
      <c r="H4" t="inlineStr">
        <is>
          <t>2–3 dias</t>
        </is>
      </c>
      <c r="I4" t="inlineStr">
        <is>
          <t>MesmoT/K: R140.000, contrato840.000 separado; Q/EAC/desvio/cobertura null e status incompleto nos três canais; exceções só com decisão expressa.</t>
        </is>
      </c>
      <c r="J4" t="inlineStr">
        <is>
          <t>etapa12-parciais/MATRIZ-16.md; evidencias/matriz-16.json</t>
        </is>
      </c>
      <c r="K4" t="inlineStr">
        <is>
          <t>Pendente — não registrado pelo executor</t>
        </is>
      </c>
    </row>
    <row r="5">
      <c r="A5" t="inlineStr">
        <is>
          <t>CT29</t>
        </is>
      </c>
      <c r="B5" t="n">
        <v>4</v>
      </c>
      <c r="C5" t="inlineStr">
        <is>
          <t>A/B</t>
        </is>
      </c>
      <c r="D5" t="inlineStr">
        <is>
          <t>Sim</t>
        </is>
      </c>
      <c r="E5" t="inlineStr">
        <is>
          <t>Corrente conforme; original anterior ao vínculo permanece parcial</t>
        </is>
      </c>
      <c r="F5" t="inlineStr">
        <is>
          <t>Agenda persistida/tela/IA ausentes da prova anterior. Nesta execução, RLS oculta registros, mas carregador aceitava entidade negada e respondia visão vazia; IA não aceitava o mesmo filtro de entidade da tela.</t>
        </is>
      </c>
      <c r="G5" t="inlineStr">
        <is>
          <t>T39; abertura/restrição/agenda fictícias explícitas da fixture. Contrato/limite reais só para homologação real.</t>
        </is>
      </c>
      <c r="H5" t="inlineStr">
        <is>
          <t>0,5–1 dia</t>
        </is>
      </c>
      <c r="I5" t="inlineStr">
        <is>
          <t>Disponível100.000; finais40.000/−30.000; necessidade50.000; amortização20.000 uma vez e limite70.000 fora do disponível; mesmo perímetro no carregador/tela/IA.</t>
        </is>
      </c>
      <c r="J5" t="inlineStr">
        <is>
          <t>etapa12-parciais/MATRIZ-16.md; evidencias/matriz-16.json</t>
        </is>
      </c>
      <c r="K5" t="inlineStr">
        <is>
          <t>Pendente — não registrado pelo executor</t>
        </is>
      </c>
    </row>
    <row r="6">
      <c r="A6" t="inlineStr">
        <is>
          <t>CT02</t>
        </is>
      </c>
      <c r="B6" t="n">
        <v>5</v>
      </c>
      <c r="C6" t="inlineStr">
        <is>
          <t>A/B</t>
        </is>
      </c>
      <c r="D6" t="inlineStr">
        <is>
          <t>Sim</t>
        </is>
      </c>
      <c r="E6" t="inlineStr">
        <is>
          <t>Cadeia fictícia persistida e comparação independente conforme; aceite pendente</t>
        </is>
      </c>
      <c r="F6" t="inlineStr">
        <is>
          <t>Evidências anteriores separavam reimportação e corte puro. Baseline adicional demonstra fallback para versão atual antes da primeira versão conhecida e comparação lexical incorreta de timestamps equivalentes.</t>
        </is>
      </c>
      <c r="G6" t="inlineStr">
        <is>
          <t>T07/T08/T10; coletor/importador/revisões existentes e relógio de teste controlado; suporte documental do acréscimo já é premissa da fixture.</t>
        </is>
      </c>
      <c r="H6" t="inlineStr">
        <is>
          <t>0,5–1 dia</t>
        </is>
      </c>
      <c r="I6" t="inlineStr">
        <is>
          <t>Um título10.000→12.000; ponte2.000; T21/K20 continua10.000; replay não cria versão; SQL e aplicação concordam nos três cortes e antes da criação.</t>
        </is>
      </c>
      <c r="J6" t="inlineStr">
        <is>
          <t>etapa12-parciais/MATRIZ-16.md; evidencias/matriz-16.json</t>
        </is>
      </c>
      <c r="K6" t="inlineStr">
        <is>
          <t>Pendente — não registrado pelo executor</t>
        </is>
      </c>
    </row>
    <row r="7">
      <c r="A7" t="inlineStr">
        <is>
          <t>CT03</t>
        </is>
      </c>
      <c r="B7" t="n">
        <v>6</v>
      </c>
      <c r="C7" t="inlineStr">
        <is>
          <t>B</t>
        </is>
      </c>
      <c r="D7" t="inlineStr">
        <is>
          <t>Sim</t>
        </is>
      </c>
      <c r="E7" t="inlineStr">
        <is>
          <t>Cadeia fictícia persistida e comparação independente conforme; aceite pendente</t>
        </is>
      </c>
      <c r="F7" t="inlineStr">
        <is>
          <t>Banco/ledger já comprovavam parcial; faltava fato econômico persistido e leitura de I01 antes/depois. Nenhum defeito operacional de custo foi presumido.</t>
        </is>
      </c>
      <c r="G7" t="inlineStr">
        <is>
          <t>T18/T19; medição/itens aprovados nativos, carregador de custo e banco já existentes.</t>
        </is>
      </c>
      <c r="H7" t="inlineStr">
        <is>
          <t>0,5–1 dia</t>
        </is>
      </c>
      <c r="I7" t="inlineStr">
        <is>
          <t>Aberto7.000→5.000; duas saídas total5.000; conciliar/reimportar cria0 caixa e0 custo adicional, medição/competência anteriores preservadas.</t>
        </is>
      </c>
      <c r="J7" t="inlineStr">
        <is>
          <t>etapa12-parciais/MATRIZ-16.md; evidencias/matriz-16.json</t>
        </is>
      </c>
      <c r="K7" t="inlineStr">
        <is>
          <t>Pendente — não registrado pelo executor</t>
        </is>
      </c>
    </row>
    <row r="8">
      <c r="A8" t="inlineStr">
        <is>
          <t>CT06</t>
        </is>
      </c>
      <c r="B8" t="n">
        <v>7</v>
      </c>
      <c r="C8" t="inlineStr">
        <is>
          <t>B/C/D</t>
        </is>
      </c>
      <c r="D8" t="inlineStr">
        <is>
          <t>Não</t>
        </is>
      </c>
      <c r="E8" t="inlineStr">
        <is>
          <t>Parcial — pendência técnica mantida</t>
        </is>
      </c>
      <c r="F8" t="inlineStr">
        <is>
          <t>Três filhos manuais conservam100.000, mas pai econômico, geração nativa, credores e condição de liberação não foram encadeados. Não há reprodução de erro nativo que justifique reescrevê-lo.</t>
        </is>
      </c>
      <c r="G8" t="inlineStr">
        <is>
          <t>T16/T21/T26; testar approve_execution_contract_measurement/notas nativas. D08 real (cláusulas, credores, alíquotas) permanece pendente; percentuais da fixture são apenas didáticos.</t>
        </is>
      </c>
      <c r="H8" t="inlineStr">
        <is>
          <t>2–4 dias</t>
        </is>
      </c>
      <c r="I8" t="inlineStr">
        <is>
          <t>R100.000→15.000→10.000→0; H90.000→100.000; custo100.000; C0/Q100.000 inicialmente; sem somar pai e filhos nem liberar retenção sem condição.</t>
        </is>
      </c>
      <c r="J8" t="inlineStr">
        <is>
          <t>etapa12-parciais/MATRIZ-16.md; evidencias/matriz-16.json</t>
        </is>
      </c>
      <c r="K8" t="inlineStr">
        <is>
          <t>Pendente — não registrado pelo executor</t>
        </is>
      </c>
    </row>
    <row r="9">
      <c r="A9" t="inlineStr">
        <is>
          <t>CT28</t>
        </is>
      </c>
      <c r="B9" t="n">
        <v>8</v>
      </c>
      <c r="C9" t="inlineStr">
        <is>
          <t>B/C</t>
        </is>
      </c>
      <c r="D9" t="inlineStr">
        <is>
          <t>Não</t>
        </is>
      </c>
      <c r="E9" t="inlineStr">
        <is>
          <t>Parcial — pendência técnica mantida</t>
        </is>
      </c>
      <c r="F9" t="inlineStr">
        <is>
          <t>Adiantamento, retenções e cobertura existem isoladamente; o conjunto do mesmo contrato/escopo não foi executado.</t>
        </is>
      </c>
      <c r="G9" t="inlineStr">
        <is>
          <t>CT05/CT06; T20/T21/T26/T28/T30. Documentos reais apenas para adoção operacional, não para a fixture.</t>
        </is>
      </c>
      <c r="H9" t="inlineStr">
        <is>
          <t>2–3 dias apósCT05/06</t>
        </is>
      </c>
      <c r="I9" t="inlineStr">
        <is>
          <t>R140.000; H220.000; crédito60.000; C840.000; P200.000; Q1.180.000; ETC1.100.000; EAC1.400.000 em cadeia única.</t>
        </is>
      </c>
      <c r="J9" t="inlineStr">
        <is>
          <t>etapa12-parciais/MATRIZ-16.md; evidencias/matriz-16.json</t>
        </is>
      </c>
      <c r="K9" t="inlineStr">
        <is>
          <t>Pendente — não registrado pelo executor</t>
        </is>
      </c>
    </row>
    <row r="10">
      <c r="A10" t="inlineStr">
        <is>
          <t>CT09</t>
        </is>
      </c>
      <c r="B10" t="n">
        <v>9</v>
      </c>
      <c r="C10" t="inlineStr">
        <is>
          <t>B/C</t>
        </is>
      </c>
      <c r="D10" t="inlineStr">
        <is>
          <t>Não</t>
        </is>
      </c>
      <c r="E10" t="inlineStr">
        <is>
          <t>Parcial — pendência técnica mantida</t>
        </is>
      </c>
      <c r="F10" t="inlineStr">
        <is>
          <t>Vínculo de cobertura puro passa; não há execução persistida MED01→NF01→NF02 que conserve a obrigação e um único custo.</t>
        </is>
      </c>
      <c r="G10" t="inlineStr">
        <is>
          <t>T16/T22/T24; obrigação provisória e substituição documental nativas, sem extinguir escopo por cancelar NF.</t>
        </is>
      </c>
      <c r="H10" t="inlineStr">
        <is>
          <t>2–4 dias</t>
        </is>
      </c>
      <c r="I10" t="inlineStr">
        <is>
          <t>Antes: I03=0/I04=8.000; depois I03=8.000/I04=0; R8.000; custo8.000; caixa0; uma representação financeira ativa e histórico completo.</t>
        </is>
      </c>
      <c r="J10" t="inlineStr">
        <is>
          <t>etapa12-parciais/MATRIZ-16.md; evidencias/matriz-16.json</t>
        </is>
      </c>
      <c r="K10" t="inlineStr">
        <is>
          <t>Pendente — não registrado pelo executor</t>
        </is>
      </c>
    </row>
    <row r="11">
      <c r="A11" t="inlineStr">
        <is>
          <t>CT22</t>
        </is>
      </c>
      <c r="B11" t="n">
        <v>10</v>
      </c>
      <c r="C11" t="inlineStr">
        <is>
          <t>B/C/D</t>
        </is>
      </c>
      <c r="D11" t="inlineStr">
        <is>
          <t>Não</t>
        </is>
      </c>
      <c r="E11" t="inlineStr">
        <is>
          <t>Parcial — pendência técnica mantida</t>
        </is>
      </c>
      <c r="F11" t="inlineStr">
        <is>
          <t>Crédito recebido20.000/aplicação passam. Falta cobertura persistida automática contrato/parcela/antecipação para I18 e prova de que recebimento não reconhece receita.</t>
        </is>
      </c>
      <c r="G11" t="inlineStr">
        <is>
          <t>T20/T33/T34; mapa contratualAR. D09 real (desempenho/distratos/permutas) não altera o exemplo aprovado sem desempenho.</t>
        </is>
      </c>
      <c r="H11" t="inlineStr">
        <is>
          <t>2–3 dias</t>
        </is>
      </c>
      <c r="I11" t="inlineStr">
        <is>
          <t>Caixa20.000; crédito20.000→0; AR20.000; futuro não titulado60.000; I18=80.000; caixa novo0; receita automática0.</t>
        </is>
      </c>
      <c r="J11" t="inlineStr">
        <is>
          <t>etapa12-parciais/MATRIZ-16.md; evidencias/matriz-16.json</t>
        </is>
      </c>
      <c r="K11" t="inlineStr">
        <is>
          <t>Pendente — não registrado pelo executor</t>
        </is>
      </c>
    </row>
    <row r="12">
      <c r="A12" t="inlineStr">
        <is>
          <t>CT11</t>
        </is>
      </c>
      <c r="B12" t="n">
        <v>11</v>
      </c>
      <c r="C12" t="inlineStr">
        <is>
          <t>B/C/D/E</t>
        </is>
      </c>
      <c r="D12" t="inlineStr">
        <is>
          <t>Não</t>
        </is>
      </c>
      <c r="E12" t="inlineStr">
        <is>
          <t>Parcial — pendência técnica mantida</t>
        </is>
      </c>
      <c r="F12" t="inlineStr">
        <is>
          <t>Maior resto e60/40 passam em funções; não há ledger multiobra/versão/aprovador e devolução por obra. Texto de centros concatenados não é rateio monetário.</t>
        </is>
      </c>
      <c r="G12" t="inlineStr">
        <is>
          <t>T17 e persistência multiobra na mesma entidade; D05 operacional. A regra60/40/maior resto da fixture já é explícita e não precisa nova decisão.</t>
        </is>
      </c>
      <c r="H12" t="inlineStr">
        <is>
          <t>3–5 dias</t>
        </is>
      </c>
      <c r="I12" t="inlineStr">
        <is>
          <t>Custo6.000/4.000; caixa1.800/1.200; aberto4.200/2.800;100,01→33,34/33,34/33,33; conservar soma, versão, autoria e devolução por obra.</t>
        </is>
      </c>
      <c r="J12" t="inlineStr">
        <is>
          <t>etapa12-parciais/MATRIZ-16.md; evidencias/matriz-16.json</t>
        </is>
      </c>
      <c r="K12" t="inlineStr">
        <is>
          <t>Pendente — não registrado pelo executor</t>
        </is>
      </c>
    </row>
    <row r="13">
      <c r="A13" t="inlineStr">
        <is>
          <t>CT05</t>
        </is>
      </c>
      <c r="B13" t="n">
        <v>12</v>
      </c>
      <c r="C13" t="inlineStr">
        <is>
          <t>B/C</t>
        </is>
      </c>
      <c r="D13" t="inlineStr">
        <is>
          <t>Não</t>
        </is>
      </c>
      <c r="E13" t="inlineStr">
        <is>
          <t>Parcial — pendência técnica mantida</t>
        </is>
      </c>
      <c r="F13" t="inlineStr">
        <is>
          <t>Pagamento/aplicação/reversão do crédito passam separados; custo/ETC e estadosA–E do mesmo contrato/medição não foram persistidos.</t>
        </is>
      </c>
      <c r="G13" t="inlineStr">
        <is>
          <t>T20/T26 e evento econômico aceito; regra fictícia já distingue adiantamento de execução.</t>
        </is>
      </c>
      <c r="H13" t="inlineStr">
        <is>
          <t>2–3 dias</t>
        </is>
      </c>
      <c r="I13" t="inlineStr">
        <is>
          <t>Q100.000/100.000/80.000/80.000/60.000; custo0/0/0/40.000/40.000; aplicação cria0 caixa; conservarH/R/C/crédito em cada estado.</t>
        </is>
      </c>
      <c r="J13" t="inlineStr">
        <is>
          <t>etapa12-parciais/MATRIZ-16.md; evidencias/matriz-16.json</t>
        </is>
      </c>
      <c r="K13" t="inlineStr">
        <is>
          <t>Pendente — não registrado pelo executor</t>
        </is>
      </c>
    </row>
    <row r="14">
      <c r="A14" t="inlineStr">
        <is>
          <t>CT27</t>
        </is>
      </c>
      <c r="B14" t="n">
        <v>13</v>
      </c>
      <c r="C14" t="inlineStr">
        <is>
          <t>B/C/D</t>
        </is>
      </c>
      <c r="D14" t="inlineStr">
        <is>
          <t>Não</t>
        </is>
      </c>
      <c r="E14" t="inlineStr">
        <is>
          <t>Parcial — pendência técnica mantida</t>
        </is>
      </c>
      <c r="F14" t="inlineStr">
        <is>
          <t>Ainda não há execução integral recebimento20.000/pagamento/consumo8.000 conferindo estoque, custo, ETC eQ.</t>
        </is>
      </c>
      <c r="G14" t="inlineStr">
        <is>
          <t>T22/T28; almoxarifado/consumo e ligação com preço pago. D03 real por natureza, sem mudar consumo já aprovado para a fixture.</t>
        </is>
      </c>
      <c r="H14" t="inlineStr">
        <is>
          <t>2–4 dias</t>
        </is>
      </c>
      <c r="I14" t="inlineStr">
        <is>
          <t>Antes: estoque/ETC/EAC20.000 e custo/Q0; depois custo8.000, estoque/ETC12.000, EAC20.000, Q0, novo caixa0.</t>
        </is>
      </c>
      <c r="J14" t="inlineStr">
        <is>
          <t>etapa12-parciais/MATRIZ-16.md; evidencias/matriz-16.json</t>
        </is>
      </c>
      <c r="K14" t="inlineStr">
        <is>
          <t>Pendente — não registrado pelo executor</t>
        </is>
      </c>
    </row>
    <row r="15">
      <c r="A15" t="inlineStr">
        <is>
          <t>CT04</t>
        </is>
      </c>
      <c r="B15" t="n">
        <v>14</v>
      </c>
      <c r="C15" t="inlineStr">
        <is>
          <t>B/C</t>
        </is>
      </c>
      <c r="D15" t="inlineStr">
        <is>
          <t>Não</t>
        </is>
      </c>
      <c r="E15" t="inlineStr">
        <is>
          <t>Parcial — pendência técnica mantida</t>
        </is>
      </c>
      <c r="F15" t="inlineStr">
        <is>
          <t>Resultados puros de datas/horizontes corretos; falta cadeia econômica/documental persistida e consultas históricas dos canais.</t>
        </is>
      </c>
      <c r="G15" t="inlineStr">
        <is>
          <t>T07/T30; reaproveitar aceite econômicoCT03 e correção temporalCT02, sem dizer que já cobrem CT04.</t>
        </is>
      </c>
      <c r="H15" t="inlineStr">
        <is>
          <t>1–2 dias</t>
        </is>
      </c>
      <c r="I15" t="inlineStr">
        <is>
          <t>Custo setembro10.000; aberto/vencido em21/10=10.000; caixa21=0/22=10.000/novo24=0; faixasR28.000, vencido1.000, hoje2.000,30d3.000,90d12.000, além6.000, semdata7.000.</t>
        </is>
      </c>
      <c r="J15" t="inlineStr">
        <is>
          <t>etapa12-parciais/MATRIZ-16.md; evidencias/matriz-16.json</t>
        </is>
      </c>
      <c r="K15" t="inlineStr">
        <is>
          <t>Pendente — não registrado pelo executor</t>
        </is>
      </c>
    </row>
    <row r="16">
      <c r="A16" t="inlineStr">
        <is>
          <t>CT20</t>
        </is>
      </c>
      <c r="B16" t="n">
        <v>15</v>
      </c>
      <c r="C16" t="inlineStr">
        <is>
          <t>B/C/D</t>
        </is>
      </c>
      <c r="D16" t="inlineStr">
        <is>
          <t>Não</t>
        </is>
      </c>
      <c r="E16" t="inlineStr">
        <is>
          <t>Parcial — pendência técnica mantida</t>
        </is>
      </c>
      <c r="F16" t="inlineStr">
        <is>
          <t>Bloqueio bancário/reimportação fechada não constitui fechamento econômico e retificação gerencial de setembro.</t>
        </is>
      </c>
      <c r="G16" t="inlineStr">
        <is>
          <t>T37 e versões econômicas. D11 operacional: responsável, materialidade, alçadas, vigência. A fixture já presume aprovação gerencial em16/10.</t>
        </is>
      </c>
      <c r="H16" t="inlineStr">
        <is>
          <t>3–5 dias</t>
        </is>
      </c>
      <c r="I16" t="inlineStr">
        <is>
          <t>Original setembro500.000 preservado; reapresentado530.000; ponte30.000; custo novo outubro0; banco outubro30.000; mutações original0.</t>
        </is>
      </c>
      <c r="J16" t="inlineStr">
        <is>
          <t>etapa12-parciais/MATRIZ-16.md; evidencias/matriz-16.json</t>
        </is>
      </c>
      <c r="K16" t="inlineStr">
        <is>
          <t>Pendente — não registrado pelo executor</t>
        </is>
      </c>
    </row>
    <row r="17">
      <c r="A17" t="inlineStr">
        <is>
          <t>CT19</t>
        </is>
      </c>
      <c r="B17" t="n">
        <v>16</v>
      </c>
      <c r="C17" t="inlineStr">
        <is>
          <t>B/C/D</t>
        </is>
      </c>
      <c r="D17" t="inlineStr">
        <is>
          <t>Não</t>
        </is>
      </c>
      <c r="E17" t="inlineStr">
        <is>
          <t>Parcial — pendência técnica mantida</t>
        </is>
      </c>
      <c r="F17" t="inlineStr">
        <is>
          <t>Aditivo e reestimativa passam no cálculo puro; falta trilha de aprovação/vigência/orçamento/risco na persistência.</t>
        </is>
      </c>
      <c r="G17" t="inlineStr">
        <is>
          <t>T25/T27/T28; revisão orçamentária e aditivo aprovados. D10 real: validadeRev03/EAP/preços/responsável, sem usar orçamento como residual deETC.</t>
        </is>
      </c>
      <c r="H17" t="inlineStr">
        <is>
          <t>2–3 dias</t>
        </is>
      </c>
      <c r="I17" t="inlineStr">
        <is>
          <t>Contrato550.000; incorrido450.000; ETC800.000; EAC1.250.000; desvio250.000/25%; proposta40.000 acrescenta0 ao firme e cenário1.290.000.</t>
        </is>
      </c>
      <c r="J17" t="inlineStr">
        <is>
          <t>etapa12-parciais/MATRIZ-16.md; evidencias/matriz-16.json</t>
        </is>
      </c>
      <c r="K17" t="inlineStr">
        <is>
          <t>Pendente — não registrado pelo executor</t>
        </is>
      </c>
    </row>
  </sheetData>
  <autoFilter ref="A1:K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5" max="5"/>
    <col width="55" customWidth="1" min="6" max="6"/>
  </cols>
  <sheetData>
    <row r="1">
      <c r="A1" t="inlineStr">
        <is>
          <t>Caso</t>
        </is>
      </c>
      <c r="B1" t="inlineStr">
        <is>
          <t>Campo</t>
        </is>
      </c>
      <c r="C1" t="inlineStr">
        <is>
          <t>Esperado independente</t>
        </is>
      </c>
      <c r="D1" t="inlineStr">
        <is>
          <t>Obtido</t>
        </is>
      </c>
      <c r="E1" t="inlineStr">
        <is>
          <t>Evidência</t>
        </is>
      </c>
      <c r="F1" t="inlineStr">
        <is>
          <t>Aceite financeiro</t>
        </is>
      </c>
    </row>
    <row r="2">
      <c r="A2" t="inlineStr">
        <is>
          <t>CT02</t>
        </is>
      </c>
      <c r="B2" t="inlineStr">
        <is>
          <t>canonical_title_count</t>
        </is>
      </c>
      <c r="C2" t="n">
        <v>1</v>
      </c>
      <c r="D2" t="n">
        <v>1</v>
      </c>
      <c r="E2" t="inlineStr">
        <is>
          <t>etapa12-parciais/evidencias/comparacao-4.json</t>
        </is>
      </c>
      <c r="F2" t="inlineStr">
        <is>
          <t>Pendente — não preenchido pelo executor</t>
        </is>
      </c>
    </row>
    <row r="3">
      <c r="A3" t="inlineStr">
        <is>
          <t>CT02</t>
        </is>
      </c>
      <c r="B3" t="inlineStr">
        <is>
          <t>original_snapshot_open_cents</t>
        </is>
      </c>
      <c r="C3" t="n">
        <v>1000000</v>
      </c>
      <c r="D3" t="n">
        <v>1000000</v>
      </c>
      <c r="E3" t="inlineStr">
        <is>
          <t>etapa12-parciais/evidencias/comparacao-4.json</t>
        </is>
      </c>
      <c r="F3" t="inlineStr">
        <is>
          <t>Pendente — não preenchido pelo executor</t>
        </is>
      </c>
    </row>
    <row r="4">
      <c r="A4" t="inlineStr">
        <is>
          <t>CT02</t>
        </is>
      </c>
      <c r="B4" t="inlineStr">
        <is>
          <t>revised_snapshot_open_cents</t>
        </is>
      </c>
      <c r="C4" t="n">
        <v>1200000</v>
      </c>
      <c r="D4" t="n">
        <v>1200000</v>
      </c>
      <c r="E4" t="inlineStr">
        <is>
          <t>etapa12-parciais/evidencias/comparacao-4.json</t>
        </is>
      </c>
      <c r="F4" t="inlineStr">
        <is>
          <t>Pendente — não preenchido pelo executor</t>
        </is>
      </c>
    </row>
    <row r="5">
      <c r="A5" t="inlineStr">
        <is>
          <t>CT02</t>
        </is>
      </c>
      <c r="B5" t="inlineStr">
        <is>
          <t>documented_bridge_cents</t>
        </is>
      </c>
      <c r="C5" t="n">
        <v>200000</v>
      </c>
      <c r="D5" t="n">
        <v>200000</v>
      </c>
      <c r="E5" t="inlineStr">
        <is>
          <t>etapa12-parciais/evidencias/comparacao-4.json</t>
        </is>
      </c>
      <c r="F5" t="inlineStr">
        <is>
          <t>Pendente — não preenchido pelo executor</t>
        </is>
      </c>
    </row>
    <row r="6">
      <c r="A6" t="inlineStr">
        <is>
          <t>CT02</t>
        </is>
      </c>
      <c r="B6" t="inlineStr">
        <is>
          <t>at_T_2026_10_21_K_2026_10_20_open_cents</t>
        </is>
      </c>
      <c r="C6" t="n">
        <v>1000000</v>
      </c>
      <c r="D6" t="n">
        <v>1000000</v>
      </c>
      <c r="E6" t="inlineStr">
        <is>
          <t>etapa12-parciais/evidencias/comparacao-4.json</t>
        </is>
      </c>
      <c r="F6" t="inlineStr">
        <is>
          <t>Pendente — não preenchido pelo executor</t>
        </is>
      </c>
    </row>
    <row r="7">
      <c r="A7" t="inlineStr">
        <is>
          <t>CT03</t>
        </is>
      </c>
      <c r="B7" t="inlineStr">
        <is>
          <t>after_P1_open_cents</t>
        </is>
      </c>
      <c r="C7" t="n">
        <v>700000</v>
      </c>
      <c r="D7" t="n">
        <v>700000</v>
      </c>
      <c r="E7" t="inlineStr">
        <is>
          <t>etapa12-parciais/evidencias/comparacao-4.json</t>
        </is>
      </c>
      <c r="F7" t="inlineStr">
        <is>
          <t>Pendente — não preenchido pelo executor</t>
        </is>
      </c>
    </row>
    <row r="8">
      <c r="A8" t="inlineStr">
        <is>
          <t>CT03</t>
        </is>
      </c>
      <c r="B8" t="inlineStr">
        <is>
          <t>after_P2_open_cents</t>
        </is>
      </c>
      <c r="C8" t="n">
        <v>500000</v>
      </c>
      <c r="D8" t="n">
        <v>500000</v>
      </c>
      <c r="E8" t="inlineStr">
        <is>
          <t>etapa12-parciais/evidencias/comparacao-4.json</t>
        </is>
      </c>
      <c r="F8" t="inlineStr">
        <is>
          <t>Pendente — não preenchido pelo executor</t>
        </is>
      </c>
    </row>
    <row r="9">
      <c r="A9" t="inlineStr">
        <is>
          <t>CT03</t>
        </is>
      </c>
      <c r="B9" t="inlineStr">
        <is>
          <t>I02_gross_disbursed_cents</t>
        </is>
      </c>
      <c r="C9" t="n">
        <v>500000</v>
      </c>
      <c r="D9" t="n">
        <v>500000</v>
      </c>
      <c r="E9" t="inlineStr">
        <is>
          <t>etapa12-parciais/evidencias/comparacao-4.json</t>
        </is>
      </c>
      <c r="F9" t="inlineStr">
        <is>
          <t>Pendente — não preenchido pelo executor</t>
        </is>
      </c>
    </row>
    <row r="10">
      <c r="A10" t="inlineStr">
        <is>
          <t>CT03</t>
        </is>
      </c>
      <c r="B10" t="inlineStr">
        <is>
          <t>bank_debit_count</t>
        </is>
      </c>
      <c r="C10" t="n">
        <v>2</v>
      </c>
      <c r="D10" t="n">
        <v>2</v>
      </c>
      <c r="E10" t="inlineStr">
        <is>
          <t>etapa12-parciais/evidencias/comparacao-4.json</t>
        </is>
      </c>
      <c r="F10" t="inlineStr">
        <is>
          <t>Pendente — não preenchido pelo executor</t>
        </is>
      </c>
    </row>
    <row r="11">
      <c r="A11" t="inlineStr">
        <is>
          <t>CT03</t>
        </is>
      </c>
      <c r="B11" t="inlineStr">
        <is>
          <t>payment_count</t>
        </is>
      </c>
      <c r="C11" t="n">
        <v>2</v>
      </c>
      <c r="D11" t="n">
        <v>2</v>
      </c>
      <c r="E11" t="inlineStr">
        <is>
          <t>etapa12-parciais/evidencias/comparacao-4.json</t>
        </is>
      </c>
      <c r="F11" t="inlineStr">
        <is>
          <t>Pendente — não preenchido pelo executor</t>
        </is>
      </c>
    </row>
    <row r="12">
      <c r="A12" t="inlineStr">
        <is>
          <t>CT03</t>
        </is>
      </c>
      <c r="B12" t="inlineStr">
        <is>
          <t>cash_created_by_reconciliation_cents</t>
        </is>
      </c>
      <c r="C12" t="n">
        <v>0</v>
      </c>
      <c r="D12" t="n">
        <v>0</v>
      </c>
      <c r="E12" t="inlineStr">
        <is>
          <t>etapa12-parciais/evidencias/comparacao-4.json</t>
        </is>
      </c>
      <c r="F12" t="inlineStr">
        <is>
          <t>Pendente — não preenchido pelo executor</t>
        </is>
      </c>
    </row>
    <row r="13">
      <c r="A13" t="inlineStr">
        <is>
          <t>CT03</t>
        </is>
      </c>
      <c r="B13" t="inlineStr">
        <is>
          <t>I01_extra_cost_created_by_payments_cents</t>
        </is>
      </c>
      <c r="C13" t="n">
        <v>0</v>
      </c>
      <c r="D13" t="n">
        <v>0</v>
      </c>
      <c r="E13" t="inlineStr">
        <is>
          <t>etapa12-parciais/evidencias/comparacao-4.json</t>
        </is>
      </c>
      <c r="F13" t="inlineStr">
        <is>
          <t>Pendente — não preenchido pelo executor</t>
        </is>
      </c>
    </row>
    <row r="14">
      <c r="A14" t="inlineStr">
        <is>
          <t>CT18</t>
        </is>
      </c>
      <c r="B14" t="inlineStr">
        <is>
          <t>states[A].R_cents</t>
        </is>
      </c>
      <c r="C14" t="n">
        <v>0</v>
      </c>
      <c r="D14" t="n">
        <v>0</v>
      </c>
      <c r="E14" t="inlineStr">
        <is>
          <t>etapa12-parciais/evidencias/comparacao-4.json</t>
        </is>
      </c>
      <c r="F14" t="inlineStr">
        <is>
          <t>Pendente — não preenchido pelo executor</t>
        </is>
      </c>
    </row>
    <row r="15">
      <c r="A15" t="inlineStr">
        <is>
          <t>CT18</t>
        </is>
      </c>
      <c r="B15" t="inlineStr">
        <is>
          <t>states[A].C_cents</t>
        </is>
      </c>
      <c r="C15" t="n">
        <v>0</v>
      </c>
      <c r="D15" t="n">
        <v>0</v>
      </c>
      <c r="E15" t="inlineStr">
        <is>
          <t>etapa12-parciais/evidencias/comparacao-4.json</t>
        </is>
      </c>
      <c r="F15" t="inlineStr">
        <is>
          <t>Pendente — não preenchido pelo executor</t>
        </is>
      </c>
    </row>
    <row r="16">
      <c r="A16" t="inlineStr">
        <is>
          <t>CT18</t>
        </is>
      </c>
      <c r="B16" t="inlineStr">
        <is>
          <t>states[A].P_cents</t>
        </is>
      </c>
      <c r="C16" t="n">
        <v>10000000</v>
      </c>
      <c r="D16" t="n">
        <v>10000000</v>
      </c>
      <c r="E16" t="inlineStr">
        <is>
          <t>etapa12-parciais/evidencias/comparacao-4.json</t>
        </is>
      </c>
      <c r="F16" t="inlineStr">
        <is>
          <t>Pendente — não preenchido pelo executor</t>
        </is>
      </c>
    </row>
    <row r="17">
      <c r="A17" t="inlineStr">
        <is>
          <t>CT18</t>
        </is>
      </c>
      <c r="B17" t="inlineStr">
        <is>
          <t>states[A].Q_cents</t>
        </is>
      </c>
      <c r="C17" t="n">
        <v>10000000</v>
      </c>
      <c r="D17" t="n">
        <v>10000000</v>
      </c>
      <c r="E17" t="inlineStr">
        <is>
          <t>etapa12-parciais/evidencias/comparacao-4.json</t>
        </is>
      </c>
      <c r="F17" t="inlineStr">
        <is>
          <t>Pendente — não preenchido pelo executor</t>
        </is>
      </c>
    </row>
    <row r="18">
      <c r="A18" t="inlineStr">
        <is>
          <t>CT18</t>
        </is>
      </c>
      <c r="B18" t="inlineStr">
        <is>
          <t>states[A].AF_cents</t>
        </is>
      </c>
      <c r="C18" t="n">
        <v>0</v>
      </c>
      <c r="D18" t="n">
        <v>0</v>
      </c>
      <c r="E18" t="inlineStr">
        <is>
          <t>etapa12-parciais/evidencias/comparacao-4.json</t>
        </is>
      </c>
      <c r="F18" t="inlineStr">
        <is>
          <t>Pendente — não preenchido pelo executor</t>
        </is>
      </c>
    </row>
    <row r="19">
      <c r="A19" t="inlineStr">
        <is>
          <t>CT18</t>
        </is>
      </c>
      <c r="B19" t="inlineStr">
        <is>
          <t>states[B].R_cents</t>
        </is>
      </c>
      <c r="C19" t="n">
        <v>0</v>
      </c>
      <c r="D19" t="n">
        <v>0</v>
      </c>
      <c r="E19" t="inlineStr">
        <is>
          <t>etapa12-parciais/evidencias/comparacao-4.json</t>
        </is>
      </c>
      <c r="F19" t="inlineStr">
        <is>
          <t>Pendente — não preenchido pelo executor</t>
        </is>
      </c>
    </row>
    <row r="20">
      <c r="A20" t="inlineStr">
        <is>
          <t>CT18</t>
        </is>
      </c>
      <c r="B20" t="inlineStr">
        <is>
          <t>states[B].C_cents</t>
        </is>
      </c>
      <c r="C20" t="n">
        <v>6000000</v>
      </c>
      <c r="D20" t="n">
        <v>6000000</v>
      </c>
      <c r="E20" t="inlineStr">
        <is>
          <t>etapa12-parciais/evidencias/comparacao-4.json</t>
        </is>
      </c>
      <c r="F20" t="inlineStr">
        <is>
          <t>Pendente — não preenchido pelo executor</t>
        </is>
      </c>
    </row>
    <row r="21">
      <c r="A21" t="inlineStr">
        <is>
          <t>CT18</t>
        </is>
      </c>
      <c r="B21" t="inlineStr">
        <is>
          <t>states[B].P_cents</t>
        </is>
      </c>
      <c r="C21" t="n">
        <v>4000000</v>
      </c>
      <c r="D21" t="n">
        <v>4000000</v>
      </c>
      <c r="E21" t="inlineStr">
        <is>
          <t>etapa12-parciais/evidencias/comparacao-4.json</t>
        </is>
      </c>
      <c r="F21" t="inlineStr">
        <is>
          <t>Pendente — não preenchido pelo executor</t>
        </is>
      </c>
    </row>
    <row r="22">
      <c r="A22" t="inlineStr">
        <is>
          <t>CT18</t>
        </is>
      </c>
      <c r="B22" t="inlineStr">
        <is>
          <t>states[B].Q_cents</t>
        </is>
      </c>
      <c r="C22" t="n">
        <v>10000000</v>
      </c>
      <c r="D22" t="n">
        <v>10000000</v>
      </c>
      <c r="E22" t="inlineStr">
        <is>
          <t>etapa12-parciais/evidencias/comparacao-4.json</t>
        </is>
      </c>
      <c r="F22" t="inlineStr">
        <is>
          <t>Pendente — não preenchido pelo executor</t>
        </is>
      </c>
    </row>
    <row r="23">
      <c r="A23" t="inlineStr">
        <is>
          <t>CT18</t>
        </is>
      </c>
      <c r="B23" t="inlineStr">
        <is>
          <t>states[B].AF_cents</t>
        </is>
      </c>
      <c r="C23" t="n">
        <v>0</v>
      </c>
      <c r="D23" t="n">
        <v>0</v>
      </c>
      <c r="E23" t="inlineStr">
        <is>
          <t>etapa12-parciais/evidencias/comparacao-4.json</t>
        </is>
      </c>
      <c r="F23" t="inlineStr">
        <is>
          <t>Pendente — não preenchido pelo executor</t>
        </is>
      </c>
    </row>
    <row r="24">
      <c r="A24" t="inlineStr">
        <is>
          <t>CT18</t>
        </is>
      </c>
      <c r="B24" t="inlineStr">
        <is>
          <t>states[C].R_cents</t>
        </is>
      </c>
      <c r="C24" t="n">
        <v>2000000</v>
      </c>
      <c r="D24" t="n">
        <v>2000000</v>
      </c>
      <c r="E24" t="inlineStr">
        <is>
          <t>etapa12-parciais/evidencias/comparacao-4.json</t>
        </is>
      </c>
      <c r="F24" t="inlineStr">
        <is>
          <t>Pendente — não preenchido pelo executor</t>
        </is>
      </c>
    </row>
    <row r="25">
      <c r="A25" t="inlineStr">
        <is>
          <t>CT18</t>
        </is>
      </c>
      <c r="B25" t="inlineStr">
        <is>
          <t>states[C].C_cents</t>
        </is>
      </c>
      <c r="C25" t="n">
        <v>4000000</v>
      </c>
      <c r="D25" t="n">
        <v>4000000</v>
      </c>
      <c r="E25" t="inlineStr">
        <is>
          <t>etapa12-parciais/evidencias/comparacao-4.json</t>
        </is>
      </c>
      <c r="F25" t="inlineStr">
        <is>
          <t>Pendente — não preenchido pelo executor</t>
        </is>
      </c>
    </row>
    <row r="26">
      <c r="A26" t="inlineStr">
        <is>
          <t>CT18</t>
        </is>
      </c>
      <c r="B26" t="inlineStr">
        <is>
          <t>states[C].P_cents</t>
        </is>
      </c>
      <c r="C26" t="n">
        <v>4000000</v>
      </c>
      <c r="D26" t="n">
        <v>4000000</v>
      </c>
      <c r="E26" t="inlineStr">
        <is>
          <t>etapa12-parciais/evidencias/comparacao-4.json</t>
        </is>
      </c>
      <c r="F26" t="inlineStr">
        <is>
          <t>Pendente — não preenchido pelo executor</t>
        </is>
      </c>
    </row>
    <row r="27">
      <c r="A27" t="inlineStr">
        <is>
          <t>CT18</t>
        </is>
      </c>
      <c r="B27" t="inlineStr">
        <is>
          <t>states[C].Q_cents</t>
        </is>
      </c>
      <c r="C27" t="n">
        <v>10000000</v>
      </c>
      <c r="D27" t="n">
        <v>10000000</v>
      </c>
      <c r="E27" t="inlineStr">
        <is>
          <t>etapa12-parciais/evidencias/comparacao-4.json</t>
        </is>
      </c>
      <c r="F27" t="inlineStr">
        <is>
          <t>Pendente — não preenchido pelo executor</t>
        </is>
      </c>
    </row>
    <row r="28">
      <c r="A28" t="inlineStr">
        <is>
          <t>CT18</t>
        </is>
      </c>
      <c r="B28" t="inlineStr">
        <is>
          <t>states[C].AF_cents</t>
        </is>
      </c>
      <c r="C28" t="n">
        <v>0</v>
      </c>
      <c r="D28" t="n">
        <v>0</v>
      </c>
      <c r="E28" t="inlineStr">
        <is>
          <t>etapa12-parciais/evidencias/comparacao-4.json</t>
        </is>
      </c>
      <c r="F28" t="inlineStr">
        <is>
          <t>Pendente — não preenchido pelo executor</t>
        </is>
      </c>
    </row>
    <row r="29">
      <c r="A29" t="inlineStr">
        <is>
          <t>CT18</t>
        </is>
      </c>
      <c r="B29" t="inlineStr">
        <is>
          <t>states[D].R_cents</t>
        </is>
      </c>
      <c r="C29" t="n">
        <v>1500000</v>
      </c>
      <c r="D29" t="n">
        <v>1500000</v>
      </c>
      <c r="E29" t="inlineStr">
        <is>
          <t>etapa12-parciais/evidencias/comparacao-4.json</t>
        </is>
      </c>
      <c r="F29" t="inlineStr">
        <is>
          <t>Pendente — não preenchido pelo executor</t>
        </is>
      </c>
    </row>
    <row r="30">
      <c r="A30" t="inlineStr">
        <is>
          <t>CT18</t>
        </is>
      </c>
      <c r="B30" t="inlineStr">
        <is>
          <t>states[D].C_cents</t>
        </is>
      </c>
      <c r="C30" t="n">
        <v>4000000</v>
      </c>
      <c r="D30" t="n">
        <v>4000000</v>
      </c>
      <c r="E30" t="inlineStr">
        <is>
          <t>etapa12-parciais/evidencias/comparacao-4.json</t>
        </is>
      </c>
      <c r="F30" t="inlineStr">
        <is>
          <t>Pendente — não preenchido pelo executor</t>
        </is>
      </c>
    </row>
    <row r="31">
      <c r="A31" t="inlineStr">
        <is>
          <t>CT18</t>
        </is>
      </c>
      <c r="B31" t="inlineStr">
        <is>
          <t>states[D].P_cents</t>
        </is>
      </c>
      <c r="C31" t="n">
        <v>4000000</v>
      </c>
      <c r="D31" t="n">
        <v>4000000</v>
      </c>
      <c r="E31" t="inlineStr">
        <is>
          <t>etapa12-parciais/evidencias/comparacao-4.json</t>
        </is>
      </c>
      <c r="F31" t="inlineStr">
        <is>
          <t>Pendente — não preenchido pelo executor</t>
        </is>
      </c>
    </row>
    <row r="32">
      <c r="A32" t="inlineStr">
        <is>
          <t>CT18</t>
        </is>
      </c>
      <c r="B32" t="inlineStr">
        <is>
          <t>states[D].Q_cents</t>
        </is>
      </c>
      <c r="C32" t="n">
        <v>9500000</v>
      </c>
      <c r="D32" t="n">
        <v>9500000</v>
      </c>
      <c r="E32" t="inlineStr">
        <is>
          <t>etapa12-parciais/evidencias/comparacao-4.json</t>
        </is>
      </c>
      <c r="F32" t="inlineStr">
        <is>
          <t>Pendente — não preenchido pelo executor</t>
        </is>
      </c>
    </row>
    <row r="33">
      <c r="A33" t="inlineStr">
        <is>
          <t>CT18</t>
        </is>
      </c>
      <c r="B33" t="inlineStr">
        <is>
          <t>states[D].AF_cents</t>
        </is>
      </c>
      <c r="C33" t="n">
        <v>0</v>
      </c>
      <c r="D33" t="n">
        <v>0</v>
      </c>
      <c r="E33" t="inlineStr">
        <is>
          <t>etapa12-parciais/evidencias/comparacao-4.json</t>
        </is>
      </c>
      <c r="F33" t="inlineStr">
        <is>
          <t>Pendente — não preenchido pelo executor</t>
        </is>
      </c>
    </row>
    <row r="34">
      <c r="A34" t="inlineStr">
        <is>
          <t>CT18</t>
        </is>
      </c>
      <c r="B34" t="inlineStr">
        <is>
          <t>states[E].R_cents</t>
        </is>
      </c>
      <c r="C34" t="n">
        <v>1500000</v>
      </c>
      <c r="D34" t="n">
        <v>1500000</v>
      </c>
      <c r="E34" t="inlineStr">
        <is>
          <t>etapa12-parciais/evidencias/comparacao-4.json</t>
        </is>
      </c>
      <c r="F34" t="inlineStr">
        <is>
          <t>Pendente — não preenchido pelo executor</t>
        </is>
      </c>
    </row>
    <row r="35">
      <c r="A35" t="inlineStr">
        <is>
          <t>CT18</t>
        </is>
      </c>
      <c r="B35" t="inlineStr">
        <is>
          <t>states[E].C_cents</t>
        </is>
      </c>
      <c r="C35" t="n">
        <v>4000000</v>
      </c>
      <c r="D35" t="n">
        <v>4000000</v>
      </c>
      <c r="E35" t="inlineStr">
        <is>
          <t>etapa12-parciais/evidencias/comparacao-4.json</t>
        </is>
      </c>
      <c r="F35" t="inlineStr">
        <is>
          <t>Pendente — não preenchido pelo executor</t>
        </is>
      </c>
    </row>
    <row r="36">
      <c r="A36" t="inlineStr">
        <is>
          <t>CT18</t>
        </is>
      </c>
      <c r="B36" t="inlineStr">
        <is>
          <t>states[E].P_cents</t>
        </is>
      </c>
      <c r="C36" t="n">
        <v>4000000</v>
      </c>
      <c r="D36" t="n">
        <v>4000000</v>
      </c>
      <c r="E36" t="inlineStr">
        <is>
          <t>etapa12-parciais/evidencias/comparacao-4.json</t>
        </is>
      </c>
      <c r="F36" t="inlineStr">
        <is>
          <t>Pendente — não preenchido pelo executor</t>
        </is>
      </c>
    </row>
    <row r="37">
      <c r="A37" t="inlineStr">
        <is>
          <t>CT18</t>
        </is>
      </c>
      <c r="B37" t="inlineStr">
        <is>
          <t>states[E].Q_cents</t>
        </is>
      </c>
      <c r="C37" t="n">
        <v>9500000</v>
      </c>
      <c r="D37" t="n">
        <v>9500000</v>
      </c>
      <c r="E37" t="inlineStr">
        <is>
          <t>etapa12-parciais/evidencias/comparacao-4.json</t>
        </is>
      </c>
      <c r="F37" t="inlineStr">
        <is>
          <t>Pendente — não preenchido pelo executor</t>
        </is>
      </c>
    </row>
    <row r="38">
      <c r="A38" t="inlineStr">
        <is>
          <t>CT18</t>
        </is>
      </c>
      <c r="B38" t="inlineStr">
        <is>
          <t>states[E].AF_cents</t>
        </is>
      </c>
      <c r="C38" t="n">
        <v>200000</v>
      </c>
      <c r="D38" t="n">
        <v>200000</v>
      </c>
      <c r="E38" t="inlineStr">
        <is>
          <t>etapa12-parciais/evidencias/comparacao-4.json</t>
        </is>
      </c>
      <c r="F38" t="inlineStr">
        <is>
          <t>Pendente — não preenchido pelo executor</t>
        </is>
      </c>
    </row>
    <row r="39">
      <c r="A39" t="inlineStr">
        <is>
          <t>CT18</t>
        </is>
      </c>
      <c r="B39" t="inlineStr">
        <is>
          <t>states[E].Q_scenario_cents</t>
        </is>
      </c>
      <c r="C39" t="n">
        <v>9700000</v>
      </c>
      <c r="D39" t="n">
        <v>9700000</v>
      </c>
      <c r="E39" t="inlineStr">
        <is>
          <t>etapa12-parciais/evidencias/comparacao-4.json</t>
        </is>
      </c>
      <c r="F39" t="inlineStr">
        <is>
          <t>Pendente — não preenchido pelo executor</t>
        </is>
      </c>
    </row>
    <row r="40">
      <c r="A40" t="inlineStr">
        <is>
          <t>CT18</t>
        </is>
      </c>
      <c r="B40" t="inlineStr">
        <is>
          <t>states[F].R_cents</t>
        </is>
      </c>
      <c r="C40" t="n">
        <v>1700000</v>
      </c>
      <c r="D40" t="n">
        <v>1700000</v>
      </c>
      <c r="E40" t="inlineStr">
        <is>
          <t>etapa12-parciais/evidencias/comparacao-4.json</t>
        </is>
      </c>
      <c r="F40" t="inlineStr">
        <is>
          <t>Pendente — não preenchido pelo executor</t>
        </is>
      </c>
    </row>
    <row r="41">
      <c r="A41" t="inlineStr">
        <is>
          <t>CT18</t>
        </is>
      </c>
      <c r="B41" t="inlineStr">
        <is>
          <t>states[F].C_cents</t>
        </is>
      </c>
      <c r="C41" t="n">
        <v>4000000</v>
      </c>
      <c r="D41" t="n">
        <v>4000000</v>
      </c>
      <c r="E41" t="inlineStr">
        <is>
          <t>etapa12-parciais/evidencias/comparacao-4.json</t>
        </is>
      </c>
      <c r="F41" t="inlineStr">
        <is>
          <t>Pendente — não preenchido pelo executor</t>
        </is>
      </c>
    </row>
    <row r="42">
      <c r="A42" t="inlineStr">
        <is>
          <t>CT18</t>
        </is>
      </c>
      <c r="B42" t="inlineStr">
        <is>
          <t>states[F].P_cents</t>
        </is>
      </c>
      <c r="C42" t="n">
        <v>4000000</v>
      </c>
      <c r="D42" t="n">
        <v>4000000</v>
      </c>
      <c r="E42" t="inlineStr">
        <is>
          <t>etapa12-parciais/evidencias/comparacao-4.json</t>
        </is>
      </c>
      <c r="F42" t="inlineStr">
        <is>
          <t>Pendente — não preenchido pelo executor</t>
        </is>
      </c>
    </row>
    <row r="43">
      <c r="A43" t="inlineStr">
        <is>
          <t>CT18</t>
        </is>
      </c>
      <c r="B43" t="inlineStr">
        <is>
          <t>states[F].Q_cents</t>
        </is>
      </c>
      <c r="C43" t="n">
        <v>9700000</v>
      </c>
      <c r="D43" t="n">
        <v>9700000</v>
      </c>
      <c r="E43" t="inlineStr">
        <is>
          <t>etapa12-parciais/evidencias/comparacao-4.json</t>
        </is>
      </c>
      <c r="F43" t="inlineStr">
        <is>
          <t>Pendente — não preenchido pelo executor</t>
        </is>
      </c>
    </row>
    <row r="44">
      <c r="A44" t="inlineStr">
        <is>
          <t>CT18</t>
        </is>
      </c>
      <c r="B44" t="inlineStr">
        <is>
          <t>states[F].AF_cents</t>
        </is>
      </c>
      <c r="C44" t="n">
        <v>0</v>
      </c>
      <c r="D44" t="n">
        <v>0</v>
      </c>
      <c r="E44" t="inlineStr">
        <is>
          <t>etapa12-parciais/evidencias/comparacao-4.json</t>
        </is>
      </c>
      <c r="F44" t="inlineStr">
        <is>
          <t>Pendente — não preenchido pelo executor</t>
        </is>
      </c>
    </row>
    <row r="45">
      <c r="A45" t="inlineStr">
        <is>
          <t>CT18</t>
        </is>
      </c>
      <c r="B45" t="inlineStr">
        <is>
          <t>states[F].Q_scenario_cents</t>
        </is>
      </c>
      <c r="C45" t="n">
        <v>9700000</v>
      </c>
      <c r="D45" t="n">
        <v>9700000</v>
      </c>
      <c r="E45" t="inlineStr">
        <is>
          <t>etapa12-parciais/evidencias/comparacao-4.json</t>
        </is>
      </c>
      <c r="F45" t="inlineStr">
        <is>
          <t>Pendente — não preenchido pelo executor</t>
        </is>
      </c>
    </row>
    <row r="46">
      <c r="A46" t="inlineStr">
        <is>
          <t>CT29</t>
        </is>
      </c>
      <c r="B46" t="inlineStr">
        <is>
          <t>available_opening_cents</t>
        </is>
      </c>
      <c r="C46" t="n">
        <v>10000000</v>
      </c>
      <c r="D46" t="n">
        <v>10000000</v>
      </c>
      <c r="E46" t="inlineStr">
        <is>
          <t>etapa12-parciais/evidencias/comparacao-4.json</t>
        </is>
      </c>
      <c r="F46" t="inlineStr">
        <is>
          <t>Pendente — não preenchido pelo executor</t>
        </is>
      </c>
    </row>
    <row r="47">
      <c r="A47" t="inlineStr">
        <is>
          <t>CT29</t>
        </is>
      </c>
      <c r="B47" t="inlineStr">
        <is>
          <t>closing_month1_cents</t>
        </is>
      </c>
      <c r="C47" t="n">
        <v>4000000</v>
      </c>
      <c r="D47" t="n">
        <v>4000000</v>
      </c>
      <c r="E47" t="inlineStr">
        <is>
          <t>etapa12-parciais/evidencias/comparacao-4.json</t>
        </is>
      </c>
      <c r="F47" t="inlineStr">
        <is>
          <t>Pendente — não preenchido pelo executor</t>
        </is>
      </c>
    </row>
    <row r="48">
      <c r="A48" t="inlineStr">
        <is>
          <t>CT29</t>
        </is>
      </c>
      <c r="B48" t="inlineStr">
        <is>
          <t>closing_month2_cents</t>
        </is>
      </c>
      <c r="C48" t="n">
        <v>-3000000</v>
      </c>
      <c r="D48" t="n">
        <v>-3000000</v>
      </c>
      <c r="E48" t="inlineStr">
        <is>
          <t>etapa12-parciais/evidencias/comparacao-4.json</t>
        </is>
      </c>
      <c r="F48" t="inlineStr">
        <is>
          <t>Pendente — não preenchido pelo executor</t>
        </is>
      </c>
    </row>
    <row r="49">
      <c r="A49" t="inlineStr">
        <is>
          <t>CT29</t>
        </is>
      </c>
      <c r="B49" t="inlineStr">
        <is>
          <t>peak_additional_funding_cents</t>
        </is>
      </c>
      <c r="C49" t="n">
        <v>5000000</v>
      </c>
      <c r="D49" t="n">
        <v>5000000</v>
      </c>
      <c r="E49" t="inlineStr">
        <is>
          <t>etapa12-parciais/evidencias/comparacao-4.json</t>
        </is>
      </c>
      <c r="F49" t="inlineStr">
        <is>
          <t>Pendente — não preenchido pelo executor</t>
        </is>
      </c>
    </row>
    <row r="50">
      <c r="A50" t="inlineStr">
        <is>
          <t>CT29</t>
        </is>
      </c>
      <c r="B50" t="inlineStr">
        <is>
          <t>additional_amortization_duplicate_cents</t>
        </is>
      </c>
      <c r="C50" t="n">
        <v>0</v>
      </c>
      <c r="D50" t="n">
        <v>0</v>
      </c>
      <c r="E50" t="inlineStr">
        <is>
          <t>etapa12-parciais/evidencias/comparacao-4.json</t>
        </is>
      </c>
      <c r="F50" t="inlineStr">
        <is>
          <t>Pendente — não preenchido pelo executor</t>
        </is>
      </c>
    </row>
    <row r="51">
      <c r="A51" t="inlineStr">
        <is>
          <t>CT29</t>
        </is>
      </c>
      <c r="B51" t="inlineStr">
        <is>
          <t>unused_limit_in_available_cash_cents</t>
        </is>
      </c>
      <c r="C51" t="n">
        <v>0</v>
      </c>
      <c r="D51" t="n">
        <v>0</v>
      </c>
      <c r="E51" t="inlineStr">
        <is>
          <t>etapa12-parciais/evidencias/comparacao-4.json</t>
        </is>
      </c>
      <c r="F51" t="inlineStr">
        <is>
          <t>Pendente — não preenchido pelo executor</t>
        </is>
      </c>
    </row>
  </sheetData>
  <autoFilter ref="A1:F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s>
  <sheetData>
    <row r="1">
      <c r="A1" t="inlineStr">
        <is>
          <t>Caso</t>
        </is>
      </c>
      <c r="B1" t="inlineStr">
        <is>
          <t>Título</t>
        </is>
      </c>
      <c r="C1" t="inlineStr">
        <is>
          <t>Situação global</t>
        </is>
      </c>
      <c r="D1" t="inlineStr">
        <is>
          <t>Evidência técnica</t>
        </is>
      </c>
      <c r="E1" t="inlineStr">
        <is>
          <t>Expectativa independente</t>
        </is>
      </c>
      <c r="F1" t="inlineStr">
        <is>
          <t>Obtido</t>
        </is>
      </c>
      <c r="G1" t="inlineStr">
        <is>
          <t>Pendência</t>
        </is>
      </c>
      <c r="H1" t="inlineStr">
        <is>
          <t>Dependências</t>
        </is>
      </c>
      <c r="I1" t="inlineStr">
        <is>
          <t>Evidências</t>
        </is>
      </c>
      <c r="J1" t="inlineStr">
        <is>
          <t>Aceite financeiro</t>
        </is>
      </c>
    </row>
    <row r="2">
      <c r="A2" t="inlineStr">
        <is>
          <t>CT01</t>
        </is>
      </c>
      <c r="B2" t="inlineStr">
        <is>
          <t>Importação repetida e arquivos de cobertura parcial</t>
        </is>
      </c>
      <c r="C2" t="inlineStr">
        <is>
          <t>Conforme apenas por evidência técnica herdada</t>
        </is>
      </c>
      <c r="D2" t="inlineStr">
        <is>
          <t>Conforme apenas por evidência técnica herdada</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Revisar a evidência documental e o perímetro; controles herdados não certificam dados reais, custo econômico nem extrato independente.</t>
        </is>
      </c>
      <c r="H2" t="inlineStr">
        <is>
          <t>Revisar a evidência documental e o perímetro; controles herdados não certificam dados reais, custo econômico nem extrato independente.</t>
        </is>
      </c>
      <c r="I2" t="inlineStr">
        <is>
          <t>../etapa9-homologacao/evidencias/reexecucao/casos-obtidos.json; ../etapa9-homologacao/evidencias/reexecucao/comparacao-integrais.json</t>
        </is>
      </c>
      <c r="J2" t="inlineStr">
        <is>
          <t>Pendente — nenhum aceite formal registrado pelo executor</t>
        </is>
      </c>
    </row>
    <row r="3">
      <c r="A3" t="inlineStr">
        <is>
          <t>CT02</t>
        </is>
      </c>
      <c r="B3" t="inlineStr">
        <is>
          <t>Nova versão do mesmo título e preservação do corte histórico</t>
        </is>
      </c>
      <c r="C3" t="inlineStr">
        <is>
          <t>Conforme por teste independente</t>
        </is>
      </c>
      <c r="D3" t="inlineStr">
        <is>
          <t>Teste independente de etapa anterior, preservado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Aceite financeiro nominal e validação documental real; equivalência do esquema remoto/Auth/PostgREST/browser não demonstrada. Os avisos de incompletude da aplicação permanecem. Não é homologação integral.</t>
        </is>
      </c>
      <c r="H3" t="inlineStr">
        <is>
          <t>T07/T08/T10; coletor/importador/revisões existentes e relógio de teste controlado; suporte documental do acréscimo já é premissa da fixture.</t>
        </is>
      </c>
      <c r="I3" t="inlineStr">
        <is>
          <t>../etapa12-parciais/evidencias/banco.json; ../etapa12-parciais/evidencias/registros.json; ../etapa12-parciais/evidencias/comparacao-4.json; ../etapa12-parciais/evidencias/servidor-tela-acoes.log</t>
        </is>
      </c>
      <c r="J3" t="inlineStr">
        <is>
          <t>Pendente — nenhum aceite formal registrado pelo executor</t>
        </is>
      </c>
    </row>
    <row r="4">
      <c r="A4" t="inlineStr">
        <is>
          <t>CT03</t>
        </is>
      </c>
      <c r="B4" t="inlineStr">
        <is>
          <t>Pagamento parcial e conciliação posterior sem novo caixa</t>
        </is>
      </c>
      <c r="C4" t="inlineStr">
        <is>
          <t>Conforme por teste independente</t>
        </is>
      </c>
      <c r="D4" t="inlineStr">
        <is>
          <t>Teste independente de etapa anterior, preservado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0}</t>
        </is>
      </c>
      <c r="G4" t="inlineStr">
        <is>
          <t>Aceite financeiro nominal e validação documental real; equivalência do esquema remoto/Auth/PostgREST/browser não demonstrada. Os avisos de incompletude da aplicação permanecem. Não é homologação integral.</t>
        </is>
      </c>
      <c r="H4" t="inlineStr">
        <is>
          <t>T18/T19; medição/itens aprovados nativos, carregador de custo e banco já existentes.</t>
        </is>
      </c>
      <c r="I4" t="inlineStr">
        <is>
          <t>../etapa12-parciais/evidencias/banco.json; ../etapa12-parciais/evidencias/registros.json; ../etapa12-parciais/evidencias/comparacao-4.json; ../etapa12-parciais/evidencias/servidor-tela-acoes.log</t>
        </is>
      </c>
      <c r="J4" t="inlineStr">
        <is>
          <t>Pendente — nenhum aceite formal registrado pelo executor</t>
        </is>
      </c>
    </row>
    <row r="5">
      <c r="A5" t="inlineStr">
        <is>
          <t>CT04</t>
        </is>
      </c>
      <c r="B5" t="inlineStr">
        <is>
          <t>Competência emissão vencimento caixa conciliação e limites de horizonte</t>
        </is>
      </c>
      <c r="C5" t="inlineStr">
        <is>
          <t>Parcial</t>
        </is>
      </c>
      <c r="D5" t="inlineStr">
        <is>
          <t>Evidência parcial herdada</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Falta encadear serviço aceito de setembro, emissão5/10, título/pagamento22 e confirmação24 em persistência/relatórios com relógio controlado; não confundir conciliação com novo caixa.</t>
        </is>
      </c>
      <c r="H5" t="inlineStr">
        <is>
          <t>T07/T30; reaproveitar aceite econômicoCT03 e correção temporalCT02, sem dizer que já cobrem CT04.</t>
        </is>
      </c>
      <c r="I5" t="inlineStr">
        <is>
          <t>../etapa9-homologacao/evidencias/reexecucao/casos-componentes.json; ../etapa9-homologacao/evidencias/reexecucao/comparacao-componentes.json</t>
        </is>
      </c>
      <c r="J5" t="inlineStr">
        <is>
          <t>Pendente — nenhum aceite formal registrado pelo executor</t>
        </is>
      </c>
    </row>
    <row r="6">
      <c r="A6" t="inlineStr">
        <is>
          <t>CT05</t>
        </is>
      </c>
      <c r="B6" t="inlineStr">
        <is>
          <t>Adiantamento antes da execução e aplicação sem segundo abatimento</t>
        </is>
      </c>
      <c r="C6" t="inlineStr">
        <is>
          <t>Parcial</t>
        </is>
      </c>
      <c r="D6" t="inlineStr">
        <is>
          <t>Evidência parcial herdada</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Faltam estados A–E com contrato/medição econômica aceita e ETC comprovado, vinculados ao mesmo escopo e extrato independente. Não obter custo da assinatura ou adiantamento.</t>
        </is>
      </c>
      <c r="H6" t="inlineStr">
        <is>
          <t>T20/T26 e evento econômico aceito; regra fictícia já distingue adiantamento de execução.</t>
        </is>
      </c>
      <c r="I6" t="inlineStr">
        <is>
          <t>../etapa9-homologacao/evidencias/reexecucao/execucoes.json; ../etapa8-fluxo/CENARIOS-30.md</t>
        </is>
      </c>
      <c r="J6" t="inlineStr">
        <is>
          <t>Pendente — nenhum aceite formal registrado pelo executor</t>
        </is>
      </c>
    </row>
    <row r="7">
      <c r="A7" t="inlineStr">
        <is>
          <t>CT06</t>
        </is>
      </c>
      <c r="B7" t="inlineStr">
        <is>
          <t>Retenção contratual e tributo retido sem soma do documento pai</t>
        </is>
      </c>
      <c r="C7" t="inlineStr">
        <is>
          <t>Parcial</t>
        </is>
      </c>
      <c r="D7" t="inlineStr">
        <is>
          <t>Evidência parcial herdada</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Faltam pai econômico/documental único, geração nativa dos filhos/credores, cobertura C/Q, custo econômico e liberação condicionada da retenção. Campos C/Q/custo desconhecidos permanecem null.</t>
        </is>
      </c>
      <c r="H7" t="inlineStr">
        <is>
          <t>T16/T21/T26; testar approve_execution_contract_measurement/notas nativas. D08 real (cláusulas, credores, alíquotas) permanece pendente; percentuais da fixture são apenas didáticos.</t>
        </is>
      </c>
      <c r="I7" t="inlineStr">
        <is>
          <t>../etapa9-homologacao/evidencias/banco.json; ../etapa9-homologacao/evidencias/registros.json; ../etapa9-homologacao/evidencias/ponte.json; ../etapa9-homologacao/evidencias/extratos-referencia.json</t>
        </is>
      </c>
      <c r="J7" t="inlineStr">
        <is>
          <t>Pendente — nenhum aceite formal registrado pelo executor</t>
        </is>
      </c>
    </row>
    <row r="8">
      <c r="A8" t="inlineStr">
        <is>
          <t>CT07</t>
        </is>
      </c>
      <c r="B8" t="inlineStr">
        <is>
          <t>Parciais juros e desconto com componentes separados</t>
        </is>
      </c>
      <c r="C8" t="inlineStr">
        <is>
          <t>Conforme apenas por evidência técnica herdada</t>
        </is>
      </c>
      <c r="D8" t="inlineStr">
        <is>
          <t>Conforme apenas por evidência técnica herdada</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Revisar a evidência documental e o perímetro; controles herdados não certificam dados reais, custo econômico nem extrato independente.</t>
        </is>
      </c>
      <c r="H8" t="inlineStr">
        <is>
          <t>Revisar a evidência documental e o perímetro; controles herdados não certificam dados reais, custo econômico nem extrato independente.</t>
        </is>
      </c>
      <c r="I8" t="inlineStr">
        <is>
          <t>../etapa9-homologacao/evidencias/reexecucao/casos-obtidos.json; ../etapa9-homologacao/evidencias/reexecucao/comparacao-integrais.json</t>
        </is>
      </c>
      <c r="J8" t="inlineStr">
        <is>
          <t>Pendente — nenhum aceite formal registrado pelo executor</t>
        </is>
      </c>
    </row>
    <row r="9">
      <c r="A9" t="inlineStr">
        <is>
          <t>CT08</t>
        </is>
      </c>
      <c r="B9" t="inlineStr">
        <is>
          <t>Estorno de liquidação e devolução bancária são eventos distintos</t>
        </is>
      </c>
      <c r="C9" t="inlineStr">
        <is>
          <t>Conforme apenas por evidência técnica herdada</t>
        </is>
      </c>
      <c r="D9" t="inlineStr">
        <is>
          <t>Conforme apenas por evidência técnica herdada</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Revisar a evidência documental e o perímetro; controles herdados não certificam dados reais, custo econômico nem extrato independente.</t>
        </is>
      </c>
      <c r="H9" t="inlineStr">
        <is>
          <t>Revisar a evidência documental e o perímetro; controles herdados não certificam dados reais, custo econômico nem extrato independente.</t>
        </is>
      </c>
      <c r="I9" t="inlineStr">
        <is>
          <t>../etapa9-homologacao/evidencias/reexecucao/casos-obtidos.json; ../etapa9-homologacao/evidencias/reexecucao/comparacao-integrais.json</t>
        </is>
      </c>
      <c r="J9" t="inlineStr">
        <is>
          <t>Pendente — nenhum aceite formal registrado pelo executor</t>
        </is>
      </c>
    </row>
    <row r="10">
      <c r="A10" t="inlineStr">
        <is>
          <t>CT09</t>
        </is>
      </c>
      <c r="B10" t="inlineStr">
        <is>
          <t>Cancelamento documental e substituição de medição por nota</t>
        </is>
      </c>
      <c r="C10" t="inlineStr">
        <is>
          <t>Parcial</t>
        </is>
      </c>
      <c r="D10" t="inlineStr">
        <is>
          <t>Evidência parcial herdada</t>
        </is>
      </c>
      <c r="E10" t="inlineStr">
        <is>
          <t>{"before_invoice_I03_cents": 0, "before_invoice_I04_cents": 800000, "final_I03_cents": 800000, "final_I04_cents": 0, "final_R_cents": 800000, "cost_cents": 800000, "cash_cents": 0, "active_financial_representations": 1}</t>
        </is>
      </c>
      <c r="F10" t="inlineStr">
        <is>
          <t>null</t>
        </is>
      </c>
      <c r="G10" t="inlineStr">
        <is>
          <t>Falta executar MED-01→NF-01→NF-02 com cancelamento exclusivamente documental, I04→I03, um único custo e representação ativa, mantendo todas as versões.</t>
        </is>
      </c>
      <c r="H10" t="inlineStr">
        <is>
          <t>T16/T22/T24; obrigação provisória e substituição documental nativas, sem extinguir escopo por cancelar NF.</t>
        </is>
      </c>
      <c r="I10" t="inlineStr">
        <is>
          <t>../etapa9-homologacao/evidencias/reexecucao/execucoes.json; ../etapa8-fluxo/CENARIOS-30.md</t>
        </is>
      </c>
      <c r="J10" t="inlineStr">
        <is>
          <t>Pendente — nenhum aceite formal registrado pelo executor</t>
        </is>
      </c>
    </row>
    <row r="11">
      <c r="A11" t="inlineStr">
        <is>
          <t>CT10</t>
        </is>
      </c>
      <c r="B11" t="inlineStr">
        <is>
          <t>Cancelamento econômico após pagamento e restituição parcial</t>
        </is>
      </c>
      <c r="C11" t="inlineStr">
        <is>
          <t>Conforme por teste independente</t>
        </is>
      </c>
      <c r="D11" t="inlineStr">
        <is>
          <t>Teste independente de etapa anterior, preservado</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G11" t="inlineStr">
        <is>
          <t>Aceite nominal, equivalência do esquema remoto e documentos reais; outros16 parciais da Etapa9 preservados. Cancelamentos fora de escopo integral antes da execução não foram antecipados.</t>
        </is>
      </c>
      <c r="H11" t="inlineStr">
        <is>
          <t>Correção 282436d/9c5d016 integrada; regressão dedicada Etapa10, sem reabrir investigação.</t>
        </is>
      </c>
      <c r="I11" t="inlineStr">
        <is>
          <t>../etapa10-ct10/evidencias/banco.json; ../etapa10-ct10/evidencias/comparacao-ct10.json; ../etapa10-ct10/evidencias/servidor-tela.log</t>
        </is>
      </c>
      <c r="J11" t="inlineStr">
        <is>
          <t>Pendente — nenhum aceite formal registrado pelo executor</t>
        </is>
      </c>
    </row>
    <row r="12">
      <c r="A12" t="inlineStr">
        <is>
          <t>CT11</t>
        </is>
      </c>
      <c r="B12" t="inlineStr">
        <is>
          <t>Rateio monetário parcial e arredondamento conservativo</t>
        </is>
      </c>
      <c r="C12" t="inlineStr">
        <is>
          <t>Parcial</t>
        </is>
      </c>
      <c r="D12" t="inlineStr">
        <is>
          <t>Evidência parcial herdada</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Falta ledger persistido multiobra na mesma entidade, versão/aprovador, pagamento parcial e devolução por obra; não promover quarentena a rateio concluído. Consumidor puro não transporta project_id e exige conferir contexto completo.</t>
        </is>
      </c>
      <c r="H12" t="inlineStr">
        <is>
          <t>T17 e persistência multiobra na mesma entidade; D05 operacional. A regra60/40/maior resto da fixture já é explícita e não precisa nova decisão.</t>
        </is>
      </c>
      <c r="I12" t="inlineStr">
        <is>
          <t>../etapa9-homologacao/evidencias/componentes-adicionais.json; ../etapa9-homologacao/evidencias/comparacao-componentes-adicionais.json</t>
        </is>
      </c>
      <c r="J12" t="inlineStr">
        <is>
          <t>Pendente — nenhum aceite formal registrado pelo executor</t>
        </is>
      </c>
    </row>
    <row r="13">
      <c r="A13" t="inlineStr">
        <is>
          <t>CT12</t>
        </is>
      </c>
      <c r="B13" t="inlineStr">
        <is>
          <t>Título sem obra preservado no total da entidade</t>
        </is>
      </c>
      <c r="C13" t="inlineStr">
        <is>
          <t>Conforme apenas por evidência técnica herdada</t>
        </is>
      </c>
      <c r="D13" t="inlineStr">
        <is>
          <t>Conforme apenas por evidência técnica herdada</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Revisar a evidência documental e o perímetro; controles herdados não certificam dados reais, custo econômico nem extrato independente.</t>
        </is>
      </c>
      <c r="H13" t="inlineStr">
        <is>
          <t>Revisar a evidência documental e o perímetro; controles herdados não certificam dados reais, custo econômico nem extrato independente.</t>
        </is>
      </c>
      <c r="I13" t="inlineStr">
        <is>
          <t>../etapa9-homologacao/evidencias/reexecucao/casos-obtidos.json; ../etapa9-homologacao/evidencias/reexecucao/comparacao-integrais.json</t>
        </is>
      </c>
      <c r="J13" t="inlineStr">
        <is>
          <t>Pendente — nenhum aceite formal registrado pelo executor</t>
        </is>
      </c>
    </row>
    <row r="14">
      <c r="A14" t="inlineStr">
        <is>
          <t>CT13</t>
        </is>
      </c>
      <c r="B14" t="inlineStr">
        <is>
          <t>Recebimento atrasado parcial e inadimplência da coorte</t>
        </is>
      </c>
      <c r="C14" t="inlineStr">
        <is>
          <t>Conforme por teste independente</t>
        </is>
      </c>
      <c r="D14" t="inlineStr">
        <is>
          <t>Teste independente de etapa anterior, preservado</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Lacuna numérica da fixture resolvida neste perímetro. Permanecem Auth/navegador, dados reais/documentos e aprovação nominal D09; não bloqueiam o resultado fictício registrado.</t>
        </is>
      </c>
      <c r="H14" t="inlineStr">
        <is>
          <t>Lacuna numérica da fixture resolvida neste perímetro. Permanecem Auth/navegador, dados reais/documentos e aprovação nominal D09; não bloqueiam o resultado fictício registrado.</t>
        </is>
      </c>
      <c r="I14" t="inlineStr">
        <is>
          <t>../etapa9-homologacao/evidencias/banco.json; ../etapa9-homologacao/evidencias/registros.json; ../etapa9-homologacao/evidencias/ponte.json; ../etapa9-homologacao/evidencias/extratos-referencia.json</t>
        </is>
      </c>
      <c r="J14" t="inlineStr">
        <is>
          <t>Pendente — nenhum aceite formal registrado pelo executor</t>
        </is>
      </c>
    </row>
    <row r="15">
      <c r="A15" t="inlineStr">
        <is>
          <t>CT14</t>
        </is>
      </c>
      <c r="B15" t="inlineStr">
        <is>
          <t>Recebimento líquido com tarifa e permuta sem caixa fictício</t>
        </is>
      </c>
      <c r="C15" t="inlineStr">
        <is>
          <t>Conforme por teste independente</t>
        </is>
      </c>
      <c r="D15" t="inlineStr">
        <is>
          <t>Teste independente de etapa anterior, preservado</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Lacuna numérica das duas variantes resolvida no ledger isolado. Bem/documento são fictícios, não avaliação patrimonial real nem aceite do contador; canal operacional de anexos/avaliação continua fora deste teste.</t>
        </is>
      </c>
      <c r="H15" t="inlineStr">
        <is>
          <t>Lacuna numérica das duas variantes resolvida no ledger isolado. Bem/documento são fictícios, não avaliação patrimonial real nem aceite do contador; canal operacional de anexos/avaliação continua fora deste teste.</t>
        </is>
      </c>
      <c r="I15" t="inlineStr">
        <is>
          <t>../etapa9-homologacao/evidencias/banco.json; ../etapa9-homologacao/evidencias/registros.json; ../etapa9-homologacao/evidencias/ponte.json; ../etapa9-homologacao/evidencias/extratos-referencia.json</t>
        </is>
      </c>
      <c r="J15" t="inlineStr">
        <is>
          <t>Pendente — nenhum aceite formal registrado pelo executor</t>
        </is>
      </c>
    </row>
    <row r="16">
      <c r="A16" t="inlineStr">
        <is>
          <t>CT15</t>
        </is>
      </c>
      <c r="B16" t="inlineStr">
        <is>
          <t>Transferência própria com tarifa e ponta em trânsito</t>
        </is>
      </c>
      <c r="C16" t="inlineStr">
        <is>
          <t>Conforme apenas por evidência técnica herdada</t>
        </is>
      </c>
      <c r="D16" t="inlineStr">
        <is>
          <t>Conforme apenas por evidência técnica herdada</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Revisar a evidência documental e o perímetro; controles herdados não certificam dados reais, custo econômico nem extrato independente.</t>
        </is>
      </c>
      <c r="H16" t="inlineStr">
        <is>
          <t>Revisar a evidência documental e o perímetro; controles herdados não certificam dados reais, custo econômico nem extrato independente.</t>
        </is>
      </c>
      <c r="I16" t="inlineStr">
        <is>
          <t>../etapa9-homologacao/evidencias/reexecucao/casos-obtidos.json; ../etapa9-homologacao/evidencias/reexecucao/comparacao-integrais.json</t>
        </is>
      </c>
      <c r="J16" t="inlineStr">
        <is>
          <t>Pendente — nenhum aceite formal registrado pelo executor</t>
        </is>
      </c>
    </row>
    <row r="17">
      <c r="A17" t="inlineStr">
        <is>
          <t>CT16</t>
        </is>
      </c>
      <c r="B17" t="inlineStr">
        <is>
          <t>Mútuo entre entidades e eliminação apenas no consolidado autorizado</t>
        </is>
      </c>
      <c r="C17" t="inlineStr">
        <is>
          <t>Conforme apenas por evidência técnica herdada</t>
        </is>
      </c>
      <c r="D17" t="inlineStr">
        <is>
          <t>Conforme apenas por evidência técnica herdada</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Revisar a evidência documental e o perímetro; controles herdados não certificam dados reais, custo econômico nem extrato independente.</t>
        </is>
      </c>
      <c r="H17" t="inlineStr">
        <is>
          <t>Revisar a evidência documental e o perímetro; controles herdados não certificam dados reais, custo econômico nem extrato independente.</t>
        </is>
      </c>
      <c r="I17" t="inlineStr">
        <is>
          <t>../etapa9-homologacao/evidencias/reexecucao/casos-obtidos.json; ../etapa9-homologacao/evidencias/reexecucao/comparacao-integrais.json</t>
        </is>
      </c>
      <c r="J17" t="inlineStr">
        <is>
          <t>Pendente — nenhum aceite formal registrado pelo executor</t>
        </is>
      </c>
    </row>
    <row r="18">
      <c r="A18" t="inlineStr">
        <is>
          <t>CT17</t>
        </is>
      </c>
      <c r="B18" t="inlineStr">
        <is>
          <t>Reprogramação de previsão sem reescrever execução ou vencimento</t>
        </is>
      </c>
      <c r="C18" t="inlineStr">
        <is>
          <t>Conforme apenas por evidência técnica herdada</t>
        </is>
      </c>
      <c r="D18" t="inlineStr">
        <is>
          <t>Conforme apenas por evidência técnica herdada</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Revisar a evidência documental e o perímetro; controles herdados não certificam dados reais, custo econômico nem extrato independente.</t>
        </is>
      </c>
      <c r="H18" t="inlineStr">
        <is>
          <t>Revisar a evidência documental e o perímetro; controles herdados não certificam dados reais, custo econômico nem extrato independente.</t>
        </is>
      </c>
      <c r="I18" t="inlineStr">
        <is>
          <t>../etapa9-homologacao/evidencias/reexecucao/casos-obtidos.json; ../etapa9-homologacao/evidencias/reexecucao/comparacao-integrais.json</t>
        </is>
      </c>
      <c r="J18" t="inlineStr">
        <is>
          <t>Pendente — nenhum aceite formal registrado pelo executor</t>
        </is>
      </c>
    </row>
    <row r="19">
      <c r="A19" t="inlineStr">
        <is>
          <t>CT18</t>
        </is>
      </c>
      <c r="B19" t="inlineStr">
        <is>
          <t>Cobertura da previsão ao contrato ao título e encargo futuro</t>
        </is>
      </c>
      <c r="C19" t="inlineStr">
        <is>
          <t>Conforme por teste independente</t>
        </is>
      </c>
      <c r="D19" t="inlineStr">
        <is>
          <t>Teste independente de etapa anterior, preservado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Aceite financeiro nominal e validação documental real; equivalência do esquema remoto/Auth/PostgREST/browser não demonstrada. Os avisos de incompletude da aplicação permanecem. Não é homologação integral.</t>
        </is>
      </c>
      <c r="H19" t="inlineStr">
        <is>
          <t>T26/T30; reutiliza ledger, cenários imutáveis e cobertura já existentes; nenhuma decisão financeira adicional para a fixture.</t>
        </is>
      </c>
      <c r="I19" t="inlineStr">
        <is>
          <t>../etapa12-parciais/evidencias/banco.json; ../etapa12-parciais/evidencias/registros.json; ../etapa12-parciais/evidencias/comparacao-4.json; ../etapa12-parciais/evidencias/servidor-tela-acoes.log</t>
        </is>
      </c>
      <c r="J19" t="inlineStr">
        <is>
          <t>Pendente — nenhum aceite formal registrado pelo executor</t>
        </is>
      </c>
    </row>
    <row r="20">
      <c r="A20" t="inlineStr">
        <is>
          <t>CT19</t>
        </is>
      </c>
      <c r="B20" t="inlineStr">
        <is>
          <t>Aditivo aprovado e previsão de estouro sem residual artificial</t>
        </is>
      </c>
      <c r="C20" t="inlineStr">
        <is>
          <t>Parcial</t>
        </is>
      </c>
      <c r="D20" t="inlineStr">
        <is>
          <t>Evidência parcial herdada</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Falta rastrear aprovação/vigência do aditivo50.000 e reestimativa350.000 até orçamento original/vigente persistidos, conferindo cenário de risco40.000. Não afirmar Q sem histórico de pagamentos.</t>
        </is>
      </c>
      <c r="H20" t="inlineStr">
        <is>
          <t>T25/T27/T28; revisão orçamentária e aditivo aprovados. D10 real: validadeRev03/EAP/preços/responsável, sem usar orçamento como residual deETC.</t>
        </is>
      </c>
      <c r="I20" t="inlineStr">
        <is>
          <t>../etapa9-homologacao/evidencias/reexecucao/casos-componentes.json; ../etapa9-homologacao/evidencias/reexecucao/comparacao-componentes.json</t>
        </is>
      </c>
      <c r="J20" t="inlineStr">
        <is>
          <t>Pendente — nenhum aceite formal registrado pelo executor</t>
        </is>
      </c>
    </row>
    <row r="21">
      <c r="A21" t="inlineStr">
        <is>
          <t>CT20</t>
        </is>
      </c>
      <c r="B21" t="inlineStr">
        <is>
          <t>Correção de período fechado com duas posições reproduzíveis</t>
        </is>
      </c>
      <c r="C21" t="inlineStr">
        <is>
          <t>Parcial</t>
        </is>
      </c>
      <c r="D21" t="inlineStr">
        <is>
          <t>Evidência parcial herdada</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Faltam fechamento econômico setembro500.000, retificação aprovada30.000 e consultas T30/09 em K original/reapresentado530.000, com ponte e banco outubro30.000. Versão de caixa não substitui fechamento econômico.</t>
        </is>
      </c>
      <c r="H21" t="inlineStr">
        <is>
          <t>T37 e versões econômicas. D11 operacional: responsável, materialidade, alçadas, vigência. A fixture já presume aprovação gerencial em16/10.</t>
        </is>
      </c>
      <c r="I21" t="inlineStr">
        <is>
          <t>../etapa9-homologacao/evidencias/reexecucao/execucoes.json; ../etapa8-fluxo/CENARIOS-30.md</t>
        </is>
      </c>
      <c r="J21" t="inlineStr">
        <is>
          <t>Pendente — nenhum aceite formal registrado pelo executor</t>
        </is>
      </c>
    </row>
    <row r="22">
      <c r="A22" t="inlineStr">
        <is>
          <t>CT21</t>
        </is>
      </c>
      <c r="B22" t="inlineStr">
        <is>
          <t>Dados incompletos não se tornam zero ou total validado</t>
        </is>
      </c>
      <c r="C22" t="inlineStr">
        <is>
          <t>Parcial</t>
        </is>
      </c>
      <c r="D22" t="inlineStr">
        <is>
          <t>Conforme por teste independente no recorte CT21/24; cenário global parcial</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Recorte fictício de dashboard/JSON/IA conforme e exceção de vínculo explícita. Testes de canais usam o carregador persistido capturado, sem Auth/PostgREST real; não demonstram snapshot transacional comum sob escrita concorrente. K histórico é explicitamente não suportado e rejeitado na exportação. Falta política operacional D12 para exceções, sem transformar ausência em zero.</t>
        </is>
      </c>
      <c r="H22" t="inlineStr">
        <is>
          <t>T38/T40/T41 e mapa R/C/P. D12 precisa definir exceções reais; a fixture já exige null, sem decisão nova para este comportamento.</t>
        </is>
      </c>
      <c r="I22" t="inlineStr">
        <is>
          <t>evidencias/comparacao-2.json; evidencias/banco.json; evidencias/registros.json; evidencias/testes-etapa13.log</t>
        </is>
      </c>
      <c r="J22" t="inlineStr">
        <is>
          <t>Pendente — nenhum aceite formal registrado pelo executor</t>
        </is>
      </c>
    </row>
    <row r="23">
      <c r="A23" t="inlineStr">
        <is>
          <t>CT22</t>
        </is>
      </c>
      <c r="B23" t="inlineStr">
        <is>
          <t>Adiantamento de cliente e entradas futuras sem abatimento global repetido</t>
        </is>
      </c>
      <c r="C23" t="inlineStr">
        <is>
          <t>Parcial</t>
        </is>
      </c>
      <c r="D23" t="inlineStr">
        <is>
          <t>Evidência parcial herdada</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Falta mapa automático exclusivo de contrato100.000/parcela40.000/antecipação20.000 para futuro60.000 e I18=80.000, e prova de ausência de receita econômica automática. Esses três resultados continuam null.</t>
        </is>
      </c>
      <c r="H23" t="inlineStr">
        <is>
          <t>T20/T33/T34; mapa contratualAR. D09 real (desempenho/distratos/permutas) não altera o exemplo aprovado sem desempenho.</t>
        </is>
      </c>
      <c r="I23" t="inlineStr">
        <is>
          <t>../etapa9-homologacao/evidencias/banco.json; ../etapa9-homologacao/evidencias/registros.json; ../etapa9-homologacao/evidencias/ponte.json; ../etapa9-homologacao/evidencias/extratos-referencia.json</t>
        </is>
      </c>
      <c r="J23" t="inlineStr">
        <is>
          <t>Pendente — nenhum aceite formal registrado pelo executor</t>
        </is>
      </c>
    </row>
    <row r="24">
      <c r="A24" t="inlineStr">
        <is>
          <t>CT23</t>
        </is>
      </c>
      <c r="B24" t="inlineStr">
        <is>
          <t>Pagamento agrupado em vários títulos e múltiplas liquidações</t>
        </is>
      </c>
      <c r="C24" t="inlineStr">
        <is>
          <t>Conforme por teste independente</t>
        </is>
      </c>
      <c r="D24" t="inlineStr">
        <is>
          <t>Teste independente de etapa anterior, preservado</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Fixture anterior usava A10.000/B10.000 e primeira alocação6.000/4.000, embora produzisse os mesmos saldos. Evidência anterior não comprovava as entradas exatas; corrigido no teste novo sem alterar operação/expected.</t>
        </is>
      </c>
      <c r="H24" t="inlineStr">
        <is>
          <t>Fixture anterior usava A10.000/B10.000 e primeira alocação6.000/4.000, embora produzisse os mesmos saldos. Evidência anterior não comprovava as entradas exatas; corrigido no teste novo sem alterar operação/expected.</t>
        </is>
      </c>
      <c r="I24" t="inlineStr">
        <is>
          <t>../etapa9-homologacao/evidencias/banco.json; ../etapa9-homologacao/evidencias/registros.json; ../etapa9-homologacao/evidencias/ponte.json; ../etapa9-homologacao/evidencias/extratos-referencia.json</t>
        </is>
      </c>
      <c r="J24" t="inlineStr">
        <is>
          <t>Pendente — nenhum aceite formal registrado pelo executor</t>
        </is>
      </c>
    </row>
    <row r="25">
      <c r="A25" t="inlineStr">
        <is>
          <t>CT24</t>
        </is>
      </c>
      <c r="B25" t="inlineStr">
        <is>
          <t>Isolamento entre organizações e autorização entre empresas</t>
        </is>
      </c>
      <c r="C25" t="inlineStr">
        <is>
          <t>Parcial</t>
        </is>
      </c>
      <c r="D25" t="inlineStr">
        <is>
          <t>Conforme por teste independente no recorte CT21/24; cenário global parcial</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G25" t="inlineStr">
        <is>
          <t>Recorte SQL/RLS dos três títulos e resposta financeira corrigida. Consulta nativa direta de contrato de A2 ainda retorna uma linha para UA com execution.contracts.view. Auth/PostgREST, detalhes/anexos/storage, cache de sessão e jobs completos não certificados. Definir alcance das permissões de Engenharia antes de restringir globalmente tabelas compartilhadas.</t>
        </is>
      </c>
      <c r="H25" t="inlineStr">
        <is>
          <t>T05/T42; Auth isolado e pipeline de todos os canais. Matriz nominal vigente só é necessária à implantação real.</t>
        </is>
      </c>
      <c r="I25" t="inlineStr">
        <is>
          <t>evidencias/comparacao-2.json; evidencias/banco.json; evidencias/registros.json; evidencias/testes-etapa13.log</t>
        </is>
      </c>
      <c r="J25" t="inlineStr">
        <is>
          <t>Pendente — nenhum aceite formal registrado pelo executor</t>
        </is>
      </c>
    </row>
    <row r="26">
      <c r="A26" t="inlineStr">
        <is>
          <t>CT25</t>
        </is>
      </c>
      <c r="B26" t="inlineStr">
        <is>
          <t>Recorrência mensal substituída pelo título da mesma ocorrência</t>
        </is>
      </c>
      <c r="C26" t="inlineStr">
        <is>
          <t>Conforme apenas por evidência técnica herdada</t>
        </is>
      </c>
      <c r="D26" t="inlineStr">
        <is>
          <t>Conforme apenas por evidência técnica herdada</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Revisar a evidência documental e o perímetro; controles herdados não certificam dados reais, custo econômico nem extrato independente.</t>
        </is>
      </c>
      <c r="H26" t="inlineStr">
        <is>
          <t>Revisar a evidência documental e o perímetro; controles herdados não certificam dados reais, custo econômico nem extrato independente.</t>
        </is>
      </c>
      <c r="I26" t="inlineStr">
        <is>
          <t>../etapa9-homologacao/evidencias/reexecucao/casos-obtidos.json; ../etapa9-homologacao/evidencias/reexecucao/comparacao-integrais.json</t>
        </is>
      </c>
      <c r="J26" t="inlineStr">
        <is>
          <t>Pendente — nenhum aceite formal registrado pelo executor</t>
        </is>
      </c>
    </row>
    <row r="27">
      <c r="A27" t="inlineStr">
        <is>
          <t>CT26</t>
        </is>
      </c>
      <c r="B27" t="inlineStr">
        <is>
          <t>Paginação completa e falha no meio da extração</t>
        </is>
      </c>
      <c r="C27" t="inlineStr">
        <is>
          <t>Conforme apenas por evidência técnica herdada</t>
        </is>
      </c>
      <c r="D27" t="inlineStr">
        <is>
          <t>Conforme apenas por evidência técnica herdada</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Revisar a evidência documental e o perímetro; controles herdados não certificam dados reais, custo econômico nem extrato independente.</t>
        </is>
      </c>
      <c r="H27" t="inlineStr">
        <is>
          <t>Revisar a evidência documental e o perímetro; controles herdados não certificam dados reais, custo econômico nem extrato independente.</t>
        </is>
      </c>
      <c r="I27" t="inlineStr">
        <is>
          <t>../etapa9-homologacao/evidencias/reexecucao/casos-obtidos.json; ../etapa9-homologacao/evidencias/reexecucao/comparacao-integrais.json</t>
        </is>
      </c>
      <c r="J27" t="inlineStr">
        <is>
          <t>Pendente — nenhum aceite formal registrado pelo executor</t>
        </is>
      </c>
    </row>
    <row r="28">
      <c r="A28" t="inlineStr">
        <is>
          <t>CT27</t>
        </is>
      </c>
      <c r="B28" t="inlineStr">
        <is>
          <t>Estoque pago e consumo econômico sem nova previsão de caixa</t>
        </is>
      </c>
      <c r="C28" t="inlineStr">
        <is>
          <t>Parcial</t>
        </is>
      </c>
      <c r="D28" t="inlineStr">
        <is>
          <t>Evidência parcial herdada</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Faltam recebimento/estoque pago20.000 e consumo8.000 persistidos, conferindo estoque12.000, ETC12.000, EAC20.000, Q0 e zero novo caixa sem somar NF/recebimento/consumo.</t>
        </is>
      </c>
      <c r="H28" t="inlineStr">
        <is>
          <t>T22/T28; almoxarifado/consumo e ligação com preço pago. D03 real por natureza, sem mudar consumo já aprovado para a fixture.</t>
        </is>
      </c>
      <c r="I28" t="inlineStr">
        <is>
          <t>../etapa9-homologacao/evidencias/reexecucao/execucoes.json; ../etapa8-fluxo/CENARIOS-30.md</t>
        </is>
      </c>
      <c r="J28" t="inlineStr">
        <is>
          <t>Pendente — nenhum aceite formal registrado pelo executor</t>
        </is>
      </c>
    </row>
    <row r="29">
      <c r="A29" t="inlineStr">
        <is>
          <t>CT28</t>
        </is>
      </c>
      <c r="B29" t="inlineStr">
        <is>
          <t>Cobertura integrada com adiantamento retenção e escopo descoberto</t>
        </is>
      </c>
      <c r="C29" t="inlineStr">
        <is>
          <t>Parcial</t>
        </is>
      </c>
      <c r="D29" t="inlineStr">
        <is>
          <t>Evidência parcial herdada</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Falta cenário conjunto persistido: crédito120.000/aplicação60.000, pagamento100.000, filhos fornecedor/tributo/retenção, escopo P200.000 e custo300.000. Conferir Q1.180.000 e EAC1.400.000; nenhum total conjunto foi presumido.</t>
        </is>
      </c>
      <c r="H29" t="inlineStr">
        <is>
          <t>CT05/CT06; T20/T21/T26/T28/T30. Documentos reais apenas para adoção operacional, não para a fixture.</t>
        </is>
      </c>
      <c r="I29" t="inlineStr">
        <is>
          <t>../etapa9-homologacao/evidencias/reexecucao/execucoes.json; ../etapa8-fluxo/CENARIOS-30.md</t>
        </is>
      </c>
      <c r="J29" t="inlineStr">
        <is>
          <t>Pendente — nenhum aceite formal registrado pelo executor</t>
        </is>
      </c>
    </row>
    <row r="30">
      <c r="A30" t="inlineStr">
        <is>
          <t>CT29</t>
        </is>
      </c>
      <c r="B30" t="inlineStr">
        <is>
          <t>Disponibilidade restrições e financiamento contado uma vez</t>
        </is>
      </c>
      <c r="C30" t="inlineStr">
        <is>
          <t>Parcial</t>
        </is>
      </c>
      <c r="D30" t="inlineStr">
        <is>
          <t>Evidência parcial herdada</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Aceite financeiro nominal e validação documental real; equivalência do esquema remoto/Auth/PostgREST/browser não demonstrada. Os avisos de incompletude da aplicação permanecem. Não é homologação integral. Referência original capturada antes do vínculo da amortização conserva sobreposição não validada; permanece parcial e não é retroaprovada.</t>
        </is>
      </c>
      <c r="H30" t="inlineStr">
        <is>
          <t>T39; abertura/restrição/agenda fictícias explícitas da fixture. Contrato/limite reais só para homologação real.</t>
        </is>
      </c>
      <c r="I30" t="inlineStr">
        <is>
          <t>../etapa12-parciais/evidencias/banco.json; ../etapa12-parciais/evidencias/registros.json; ../etapa12-parciais/evidencias/comparacao-4.json; ../etapa12-parciais/evidencias/servidor-tela-acoes.log</t>
        </is>
      </c>
      <c r="J30" t="inlineStr">
        <is>
          <t>Pendente — nenhum aceite formal registrado pelo executor</t>
        </is>
      </c>
    </row>
    <row r="31">
      <c r="A31" t="inlineStr">
        <is>
          <t>CT30</t>
        </is>
      </c>
      <c r="B31" t="inlineStr">
        <is>
          <t>Liquidação excedente identificada como crédito</t>
        </is>
      </c>
      <c r="C31" t="inlineStr">
        <is>
          <t>Conforme apenas por evidência técnica herdada</t>
        </is>
      </c>
      <c r="D31" t="inlineStr">
        <is>
          <t>Conforme apenas por evidência técnica herdada</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Revisar a evidência documental e o perímetro; controles herdados não certificam dados reais, custo econômico nem extrato independente.</t>
        </is>
      </c>
      <c r="H31" t="inlineStr">
        <is>
          <t>Revisar a evidência documental e o perímetro; controles herdados não certificam dados reais, custo econômico nem extrato independente.</t>
        </is>
      </c>
      <c r="I31" t="inlineStr">
        <is>
          <t>../etapa9-homologacao/evidencias/reexecucao/casos-obtidos.json; ../etapa9-homologacao/evidencias/reexecucao/comparacao-integrais.json</t>
        </is>
      </c>
      <c r="J31" t="inlineStr">
        <is>
          <t>Pendente — nenhum aceite formal registrado pelo executor</t>
        </is>
      </c>
    </row>
  </sheetData>
  <autoFilter ref="A1:J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sheetData>
    <row r="1">
      <c r="A1" t="inlineStr">
        <is>
          <t>Caso</t>
        </is>
      </c>
      <c r="B1" t="inlineStr">
        <is>
          <t>Campo</t>
        </is>
      </c>
      <c r="C1" t="inlineStr">
        <is>
          <t>Esperado independente</t>
        </is>
      </c>
      <c r="D1" t="inlineStr">
        <is>
          <t>Obtido</t>
        </is>
      </c>
      <c r="E1" t="inlineStr">
        <is>
          <t>Cobertura</t>
        </is>
      </c>
      <c r="F1" t="inlineStr">
        <is>
          <t>Aceite financeiro</t>
        </is>
      </c>
    </row>
    <row r="2">
      <c r="A2" t="inlineStr">
        <is>
          <t>CT21</t>
        </is>
      </c>
      <c r="B2" t="inlineStr">
        <is>
          <t>known_obligations_subtotal_cents</t>
        </is>
      </c>
      <c r="C2" t="n">
        <v>14000000</v>
      </c>
      <c r="D2" t="n">
        <v>14000000</v>
      </c>
      <c r="E2" t="inlineStr">
        <is>
          <t>Comparação numérica conforme; cenário global parcial</t>
        </is>
      </c>
      <c r="F2" t="inlineStr">
        <is>
          <t>Pendente — não assinado pelo executor</t>
        </is>
      </c>
    </row>
    <row r="3">
      <c r="A3" t="inlineStr">
        <is>
          <t>CT21</t>
        </is>
      </c>
      <c r="B3" t="inlineStr">
        <is>
          <t>contract_amount_shown_separately_cents</t>
        </is>
      </c>
      <c r="C3" t="n">
        <v>84000000</v>
      </c>
      <c r="D3" t="n">
        <v>84000000</v>
      </c>
      <c r="E3" t="inlineStr">
        <is>
          <t>Comparação numérica conforme; cenário global parcial</t>
        </is>
      </c>
      <c r="F3" t="inlineStr">
        <is>
          <t>Pendente — não assinado pelo executor</t>
        </is>
      </c>
    </row>
    <row r="4">
      <c r="A4" t="inlineStr">
        <is>
          <t>CT21</t>
        </is>
      </c>
      <c r="B4" t="inlineStr">
        <is>
          <t>Q_cents</t>
        </is>
      </c>
      <c r="E4" t="inlineStr">
        <is>
          <t>Comparação numérica conforme; cenário global parcial</t>
        </is>
      </c>
      <c r="F4" t="inlineStr">
        <is>
          <t>Pendente — não assinado pelo executor</t>
        </is>
      </c>
    </row>
    <row r="5">
      <c r="A5" t="inlineStr">
        <is>
          <t>CT21</t>
        </is>
      </c>
      <c r="B5" t="inlineStr">
        <is>
          <t>EAC_cents</t>
        </is>
      </c>
      <c r="E5" t="inlineStr">
        <is>
          <t>Comparação numérica conforme; cenário global parcial</t>
        </is>
      </c>
      <c r="F5" t="inlineStr">
        <is>
          <t>Pendente — não assinado pelo executor</t>
        </is>
      </c>
    </row>
    <row r="6">
      <c r="A6" t="inlineStr">
        <is>
          <t>CT21</t>
        </is>
      </c>
      <c r="B6" t="inlineStr">
        <is>
          <t>budget_variance_percent</t>
        </is>
      </c>
      <c r="E6" t="inlineStr">
        <is>
          <t>Comparação numérica conforme; cenário global parcial</t>
        </is>
      </c>
      <c r="F6" t="inlineStr">
        <is>
          <t>Pendente — não assinado pelo executor</t>
        </is>
      </c>
    </row>
    <row r="7">
      <c r="A7" t="inlineStr">
        <is>
          <t>CT21</t>
        </is>
      </c>
      <c r="B7" t="inlineStr">
        <is>
          <t>external_coverage_percent</t>
        </is>
      </c>
      <c r="E7" t="inlineStr">
        <is>
          <t>Comparação numérica conforme; cenário global parcial</t>
        </is>
      </c>
      <c r="F7" t="inlineStr">
        <is>
          <t>Pendente — não assinado pelo executor</t>
        </is>
      </c>
    </row>
    <row r="8">
      <c r="A8" t="inlineStr">
        <is>
          <t>CT21</t>
        </is>
      </c>
      <c r="B8" t="inlineStr">
        <is>
          <t>status</t>
        </is>
      </c>
      <c r="C8" t="inlineStr">
        <is>
          <t>incompleto</t>
        </is>
      </c>
      <c r="D8" t="inlineStr">
        <is>
          <t>incompleto</t>
        </is>
      </c>
      <c r="E8" t="inlineStr">
        <is>
          <t>Comparação numérica conforme; cenário global parcial</t>
        </is>
      </c>
      <c r="F8" t="inlineStr">
        <is>
          <t>Pendente — não assinado pelo executor</t>
        </is>
      </c>
    </row>
    <row r="9">
      <c r="A9" t="inlineStr">
        <is>
          <t>CT24</t>
        </is>
      </c>
      <c r="B9" t="inlineStr">
        <is>
          <t>canonical_title_count_all_organizations</t>
        </is>
      </c>
      <c r="C9" t="n">
        <v>3</v>
      </c>
      <c r="D9" t="n">
        <v>3</v>
      </c>
      <c r="E9" t="inlineStr">
        <is>
          <t>Comparação numérica conforme; cenário global parcial</t>
        </is>
      </c>
      <c r="F9" t="inlineStr">
        <is>
          <t>Pendente — não assinado pelo executor</t>
        </is>
      </c>
    </row>
    <row r="10">
      <c r="A10" t="inlineStr">
        <is>
          <t>CT24</t>
        </is>
      </c>
      <c r="B10" t="inlineStr">
        <is>
          <t>UA_visible_total_cents</t>
        </is>
      </c>
      <c r="C10" t="n">
        <v>100000</v>
      </c>
      <c r="D10" t="n">
        <v>100000</v>
      </c>
      <c r="E10" t="inlineStr">
        <is>
          <t>Comparação numérica conforme; cenário global parcial</t>
        </is>
      </c>
      <c r="F10" t="inlineStr">
        <is>
          <t>Pendente — não assinado pelo executor</t>
        </is>
      </c>
    </row>
    <row r="11">
      <c r="A11" t="inlineStr">
        <is>
          <t>CT24</t>
        </is>
      </c>
      <c r="B11" t="inlineStr">
        <is>
          <t>UB_visible_total_cents</t>
        </is>
      </c>
      <c r="C11" t="n">
        <v>900000</v>
      </c>
      <c r="D11" t="n">
        <v>900000</v>
      </c>
      <c r="E11" t="inlineStr">
        <is>
          <t>Comparação numérica conforme; cenário global parcial</t>
        </is>
      </c>
      <c r="F11" t="inlineStr">
        <is>
          <t>Pendente — não assinado pelo executor</t>
        </is>
      </c>
    </row>
    <row r="12">
      <c r="A12" t="inlineStr">
        <is>
          <t>CT24</t>
        </is>
      </c>
      <c r="B12" t="inlineStr">
        <is>
          <t>UG_A1_context_total_cents</t>
        </is>
      </c>
      <c r="C12" t="n">
        <v>100000</v>
      </c>
      <c r="D12" t="n">
        <v>100000</v>
      </c>
      <c r="E12" t="inlineStr">
        <is>
          <t>Comparação numérica conforme; cenário global parcial</t>
        </is>
      </c>
      <c r="F12" t="inlineStr">
        <is>
          <t>Pendente — não assinado pelo executor</t>
        </is>
      </c>
    </row>
    <row r="13">
      <c r="A13" t="inlineStr">
        <is>
          <t>CT24</t>
        </is>
      </c>
      <c r="B13" t="inlineStr">
        <is>
          <t>UG_A2_context_total_cents</t>
        </is>
      </c>
      <c r="C13" t="n">
        <v>300000</v>
      </c>
      <c r="D13" t="n">
        <v>300000</v>
      </c>
      <c r="E13" t="inlineStr">
        <is>
          <t>Comparação numérica conforme; cenário global parcial</t>
        </is>
      </c>
      <c r="F13" t="inlineStr">
        <is>
          <t>Pendente — não assinado pelo executor</t>
        </is>
      </c>
    </row>
    <row r="14">
      <c r="A14" t="inlineStr">
        <is>
          <t>CT24</t>
        </is>
      </c>
      <c r="B14" t="inlineStr">
        <is>
          <t>UG_A_authorized_consolidated_total_cents</t>
        </is>
      </c>
      <c r="C14" t="n">
        <v>400000</v>
      </c>
      <c r="D14" t="n">
        <v>400000</v>
      </c>
      <c r="E14" t="inlineStr">
        <is>
          <t>Comparação numérica conforme; cenário global parcial</t>
        </is>
      </c>
      <c r="F14" t="inlineStr">
        <is>
          <t>Pendente — não assinado pelo executor</t>
        </is>
      </c>
    </row>
    <row r="15">
      <c r="A15" t="inlineStr">
        <is>
          <t>CT24</t>
        </is>
      </c>
      <c r="B15" t="inlineStr">
        <is>
          <t>UG_B_context_total_cents</t>
        </is>
      </c>
      <c r="C15" t="n">
        <v>900000</v>
      </c>
      <c r="D15" t="n">
        <v>900000</v>
      </c>
      <c r="E15" t="inlineStr">
        <is>
          <t>Comparação numérica conforme; cenário global parcial</t>
        </is>
      </c>
      <c r="F15" t="inlineStr">
        <is>
          <t>Pendente — não assinado pelo executor</t>
        </is>
      </c>
    </row>
    <row r="16">
      <c r="A16" t="inlineStr">
        <is>
          <t>CT24</t>
        </is>
      </c>
      <c r="B16" t="inlineStr">
        <is>
          <t>foreign_rows_returned_to_UA</t>
        </is>
      </c>
      <c r="C16" t="n">
        <v>0</v>
      </c>
      <c r="D16" t="n">
        <v>0</v>
      </c>
      <c r="E16" t="inlineStr">
        <is>
          <t>Comparação numérica conforme; cenário global parcial</t>
        </is>
      </c>
      <c r="F16" t="inlineStr">
        <is>
          <t>Pendente — não assinado pelo executor</t>
        </is>
      </c>
    </row>
    <row r="17">
      <c r="A17" t="inlineStr">
        <is>
          <t>CT24</t>
        </is>
      </c>
      <c r="B17" t="inlineStr">
        <is>
          <t>restricted_same_organization_rows_returned_to_UA</t>
        </is>
      </c>
      <c r="C17" t="n">
        <v>0</v>
      </c>
      <c r="D17" t="n">
        <v>0</v>
      </c>
      <c r="E17" t="inlineStr">
        <is>
          <t>Comparação numérica conforme; cenário global parcial</t>
        </is>
      </c>
      <c r="F17" t="inlineStr">
        <is>
          <t>Pendente — não assinado pelo executor</t>
        </is>
      </c>
    </row>
    <row r="18">
      <c r="A18" t="inlineStr">
        <is>
          <t>CT24</t>
        </is>
      </c>
      <c r="B18" t="inlineStr">
        <is>
          <t>unauthorized_mutations_committed</t>
        </is>
      </c>
      <c r="C18" t="n">
        <v>0</v>
      </c>
      <c r="D18" t="n">
        <v>0</v>
      </c>
      <c r="E18" t="inlineStr">
        <is>
          <t>Comparação numérica conforme; cenário global parcial</t>
        </is>
      </c>
      <c r="F18" t="inlineStr">
        <is>
          <t>Pendente — não assinado pelo executor</t>
        </is>
      </c>
    </row>
    <row r="19">
      <c r="A19" t="inlineStr">
        <is>
          <t>CT24</t>
        </is>
      </c>
      <c r="B19" t="inlineStr">
        <is>
          <t>UR_mutations_committed</t>
        </is>
      </c>
      <c r="C19" t="n">
        <v>0</v>
      </c>
      <c r="D19" t="n">
        <v>0</v>
      </c>
      <c r="E19" t="inlineStr">
        <is>
          <t>Comparação numérica conforme; cenário global parcial</t>
        </is>
      </c>
      <c r="F19" t="inlineStr">
        <is>
          <t>Pendente — não assinado pelo executor</t>
        </is>
      </c>
    </row>
    <row r="20">
      <c r="A20" t="inlineStr">
        <is>
          <t>CT24</t>
        </is>
      </c>
      <c r="B20" t="inlineStr">
        <is>
          <t>foreign_data_occurrences_in_UA_exports_or_AI</t>
        </is>
      </c>
      <c r="C20" t="n">
        <v>0</v>
      </c>
      <c r="D20" t="n">
        <v>0</v>
      </c>
      <c r="E20" t="inlineStr">
        <is>
          <t>Comparação numérica conforme; cenário global parcial</t>
        </is>
      </c>
      <c r="F20" t="inlineStr">
        <is>
          <t>Pendente — não assinado pelo executor</t>
        </is>
      </c>
    </row>
  </sheetData>
  <autoFilter ref="A1:F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2026-10-22T19:18:06Z</dcterms:modified>
</cp:coreProperties>
</file>