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 xmlns:r="http://schemas.openxmlformats.org/officeDocument/2006/relationships" name="Etapa10_CT10" sheetId="8" state="visible" r:id="rId8"/>
    <sheet xmlns:r="http://schemas.openxmlformats.org/officeDocument/2006/relationships" name="Etapa11_Reconciliacao" sheetId="9" state="visible" r:id="rId9"/>
    <sheet xmlns:r="http://schemas.openxmlformats.org/officeDocument/2006/relationships" name="Etapa12_16" sheetId="10" state="visible" r:id="rId10"/>
    <sheet xmlns:r="http://schemas.openxmlformats.org/officeDocument/2006/relationships" name="Etapa12_4_Resultados" sheetId="11" state="visible" r:id="rId11"/>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 name="_xlnm._FilterDatabase" localSheetId="7" hidden="1">'Etapa10_CT10'!$A$1:$L$2</definedName>
    <definedName name="_xlnm._FilterDatabase" localSheetId="8" hidden="1">'Etapa11_Reconciliacao'!$A$1:$D$11</definedName>
    <definedName name="_xlnm._FilterDatabase" localSheetId="9" hidden="1">'Etapa12_16'!$A$1:$K$17</definedName>
    <definedName name="_xlnm._FilterDatabase" localSheetId="10" hidden="1">'Etapa12_4_Resultados'!$A$1:$F$51</definedName>
  </definedNames>
  <calcPr calcId="191029" fullCalcOnLoad="1" forceFullCalc="1"/>
</workbook>
</file>

<file path=xl/styles.xml><?xml version="1.0" encoding="utf-8"?>
<styleSheet xmlns="http://schemas.openxmlformats.org/spreadsheetml/2006/main">
  <numFmts count="1">
    <numFmt numFmtId="164" formatCode="dd/mm/yyyy"/>
  </numFmts>
  <fonts count="6">
    <font>
      <name val="Carlito"/>
      <sz val="11"/>
    </font>
    <font>
      <name val="Arial"/>
      <color rgb="FF183B4A"/>
      <sz val="10"/>
    </font>
    <font>
      <name val="Arial"/>
      <b val="1"/>
      <color rgb="FF152D38"/>
      <sz val="15"/>
    </font>
    <font>
      <name val="Arial"/>
      <b val="1"/>
      <color rgb="FFFFFFFF"/>
      <sz val="10"/>
    </font>
    <font>
      <name val="Arial"/>
      <i val="1"/>
      <color rgb="FF526A74"/>
      <sz val="10"/>
    </font>
    <font>
      <b val="1"/>
      <color rgb="00FFFFFF"/>
    </font>
  </fonts>
  <fills count="5">
    <fill>
      <patternFill/>
    </fill>
    <fill>
      <patternFill patternType="gray125"/>
    </fill>
    <fill>
      <patternFill patternType="solid">
        <fgColor rgb="FF244B5A"/>
      </patternFill>
    </fill>
    <fill>
      <patternFill patternType="solid">
        <fgColor rgb="FFFFF4CE"/>
      </patternFill>
    </fill>
    <fill>
      <patternFill patternType="solid">
        <fgColor rgb="00008780"/>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0" fontId="5" fillId="4" borderId="0" pivotButton="0" quotePrefix="0" xfId="0"/>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 | etapa12-parciais/README.md; MATRIZ-16.md; evidencias/comparacao-4.json; execucoes.json</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 | Etapa12: CT02 SQL/aplicação concordam nos três cortesT/K; timestamps equivalentes e pré-criação protegidos. Demais competências/cortes reais pendentes.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 | etapa12-parciais/README.md; MATRIZ-16.md; evidencias/comparacao-4.json; execucoes.json</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 | Etapa12: CT02 reimportação e aprovação fictícia preservam duas versões e autoria/motivo; estornos/fechamento econômico ainda têm outras pendências.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 | etapa12-parciais/README.md; MATRIZ-16.md; evidencias/comparacao-4.json; execucoes.json</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 | Etapa12: CT02 uma identidade, revisão10.000→12.000 e replay sem versão extra. Não é certificação da integração remota.</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 | etapa11-reconciliacao/README.md; evidencias/reconciliacao.json; evidencias/Reconciliacao_F011_F007.xlsx</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 | Etapa11: 3261 IDs/parcelas, valores e datas idênticos F011/F007; 165 páginas conferidas. Diferença149.589,33 localizada entre linhas e resumo Pago do próprio PDF. Causa financeira/componentes e fórmula de origem ausentes; não concluída.</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 | etapa12-parciais/README.md; MATRIZ-16.md; evidencias/comparacao-4.json; execucoes.json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 | Etapa12: CT03 dois pagamentos3.000/2.000, aberto7.000/5.000, custo reconhecido10.000 preservado e zero custo adicional.</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 | etapa12-parciais/README.md; MATRIZ-16.md; evidencias/comparacao-4.json; execucoes.json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 | Etapa12: CT03 extrato independente e reimportação conservam5.000 de caixa, duas saídas, zero novo caixa por conciliar.</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validação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etapa10-ct10/README.md; evidencias/comparacao-ct10.json; evidencias/execucoes.json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CT10: adiantamento integral pago é convertido em direito, não fica disponível para nova aplicação. Histórico/AP/banco preservados; demais cenários de adiantamento permanecem com pendências anteriores.</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validação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etapa10-ct10/README.md; evidencias/comparacao-ct10.json; evidencias/execucoes.json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corrigido e conforme ao oráculo isolado: bruto10.000, restituição6.000, líquido4.000, direito4.000, custo/obrigação/reabertura0. Outros cancelamentos e aceite financeiro nominal pendentes.</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 | etapa12-parciais/README.md; MATRIZ-16.md; evidencias/comparacao-4.json; execucoes.json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 | Etapa12: CT18 cadeia P/C/R persistida sem sobrepor AF e encargo; CT05/CT06/CT28 e demais vínculos continuam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 | etapa12-parciais/README.md; MATRIZ-16.md; evidencias/comparacao-4.json; execucoes.json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 | Etapa12: CT18 A–F conforme, Q95.000+AF2.000 migra paraQ97.000 semAF; quadro não certificaQ real completo.</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etapa10-ct10/README.md; evidencias/comparacao-ct10.json; evidencias/execucoes.json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CT10 agora passa no caminho de restituição de fornecedor, sem venda fictícia/receita/AP reaberto. CT21/22 e demais pendências da tarefa continuam abertas.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 | etapa11-reconciliacao/README.md; evidencias/reconciliacao.json; evidencias/Reconciliacao_F011_F007.xlsx</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 | Etapa11: igualdade documental não certifica caixa, competência, obrigação ou cobertura legal. 724 referências KOPER são substitutos de documento ausente. Manter ressalvas e residual149.589,33 sem ajuste.</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 | etapa12-parciais/README.md; MATRIZ-16.md; evidencias/comparacao-4.json; execucoes.json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 | Etapa12: CT29 disponível100.000, finais40.000/−30.000, necessidade50.000; amortização uma vez; origem real e aceite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 | etapa12-parciais/README.md; MATRIZ-16.md; evidencias/comparacao-4.json; execucoes.json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 | Etapa12: CT29 IA recebe entidade autorizada e retorna a projeção do mesmo carregador/tela. Não homologa todos os indicadores/canais deCT21/24.</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etapa10-ct10/README.md; evidencias/comparacao-ct10.json; evidencias/execucoes.json | etapa11-reconciliacao/README.md; evidencias/reconciliacao.json; evidencias/Reconciliacao_F011_F007.xlsx | etapa12-parciais/README.md; MATRIZ-16.md; evidencias/comparacao-4.json; execucoes.json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CT10 conforme no banco/núcleo/tela isolados; outros29 estados da Etapa9 preservados. Não há homologação financeira global, conciliação real ou aceite nominal. | Etapa11: ponte documental por registro pronta para revisão; causa econômica do residual149.589,33 não comprovada. Nenhum estado dos30 casos ou aceite alterado. CT10 daEtapa10 preservado. | Etapa12: Etapa12: CT02/03/18 conformes no recorte isolado; CT29 corrente conforme, referência original parcial.13 parciais permanecem, incluindo CT29. Nenhum aceite financeiro ou homologação global.</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etapa10-ct10/README.md; evidencias/comparacao-ct10.json; evidencias/execucoes.json | etapa11-reconciliacao/README.md; evidencias/reconciliacao.json; evidencias/Reconciliacao_F011_F007.xlsx | etapa12-parciais/README.md; MATRIZ-16.md; evidencias/comparacao-4.json; execucoes.json</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implantação autorizada. CT10 tecnicamente corrigido não resolve os16 parciais, fontes/cortes reais, parâmetros e aceites anteriores. | Etapa11 diagnóstica encerrada com fonte bruta/fórmula/eventos históricos pendentes. Produção inalterada. Não libera implantação nem homologação global. | Etapa12: Bloqueada: sem deploy/produção. Quatro recortes isolados aptos à revisão, não à liberação financeira real. Pendências anteriores preservadas.</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v>1</v>
      </c>
      <c r="H15" s="29">
        <f>IF(AND(ISNUMBER(F15),ISNUMBER(G15)),G15-F15,"")</f>
        <v/>
      </c>
      <c r="I15" s="20">
        <f>IF(COUNTBLANK(G15)=1,"Não executado",IF(ISNUMBER(F15)&lt;&gt;ISNUMBER(G15),"Tipo incompatível",IF(IF(E15="&lt;&gt;",G15&lt;&gt;F15,G15=F15),IF(OR(J15="",K15="",NOT(ISNUMBER(L15)),L15&lt;=0),"Evidência pendente","Compatível"),"Divergente")))</f>
        <v/>
      </c>
      <c r="J15" s="23" t="inlineStr">
        <is>
          <t>etapa12-parciais/evidencias/comparacao-4.json; banco.json; registros.json; servidor-tela-acoes.log — fictício, sem aceite financeiro</t>
        </is>
      </c>
      <c r="K15" s="23" t="inlineStr">
        <is>
          <t>Codex — execução automatizada isolada; não responsável financeiro</t>
        </is>
      </c>
      <c r="L15" s="31" t="n">
        <v>46317.64012649305</v>
      </c>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v>1000000</v>
      </c>
      <c r="H16" s="32">
        <f>IF(AND(ISNUMBER(F16),ISNUMBER(G16)),G16-F16,"")</f>
        <v/>
      </c>
      <c r="I16" s="16">
        <f>IF(COUNTBLANK(G16)=1,"Não executado",IF(ISNUMBER(F16)&lt;&gt;ISNUMBER(G16),"Tipo incompatível",IF(IF(E16="&lt;&gt;",G16&lt;&gt;F16,G16=F16),IF(OR(J16="",K16="",NOT(ISNUMBER(L16)),L16&lt;=0),"Evidência pendente","Compatível"),"Divergente")))</f>
        <v/>
      </c>
      <c r="J16" s="12" t="inlineStr">
        <is>
          <t>etapa12-parciais/evidencias/comparacao-4.json; banco.json; registros.json; servidor-tela-acoes.log — fictício, sem aceite financeiro</t>
        </is>
      </c>
      <c r="K16" s="12" t="inlineStr">
        <is>
          <t>Codex — execução automatizada isolada; não responsável financeiro</t>
        </is>
      </c>
      <c r="L16" s="28" t="n">
        <v>46317.64012649305</v>
      </c>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v>1200000</v>
      </c>
      <c r="H17" s="32">
        <f>IF(AND(ISNUMBER(F17),ISNUMBER(G17)),G17-F17,"")</f>
        <v/>
      </c>
      <c r="I17" s="16">
        <f>IF(COUNTBLANK(G17)=1,"Não executado",IF(ISNUMBER(F17)&lt;&gt;ISNUMBER(G17),"Tipo incompatível",IF(IF(E17="&lt;&gt;",G17&lt;&gt;F17,G17=F17),IF(OR(J17="",K17="",NOT(ISNUMBER(L17)),L17&lt;=0),"Evidência pendente","Compatível"),"Divergente")))</f>
        <v/>
      </c>
      <c r="J17" s="12" t="inlineStr">
        <is>
          <t>etapa12-parciais/evidencias/comparacao-4.json; banco.json; registros.json; servidor-tela-acoes.log — fictício, sem aceite financeiro</t>
        </is>
      </c>
      <c r="K17" s="12" t="inlineStr">
        <is>
          <t>Codex — execução automatizada isolada; não responsável financeiro</t>
        </is>
      </c>
      <c r="L17" s="28" t="n">
        <v>46317.64012649305</v>
      </c>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v>200000</v>
      </c>
      <c r="H18" s="32">
        <f>IF(AND(ISNUMBER(F18),ISNUMBER(G18)),G18-F18,"")</f>
        <v/>
      </c>
      <c r="I18" s="16">
        <f>IF(COUNTBLANK(G18)=1,"Não executado",IF(ISNUMBER(F18)&lt;&gt;ISNUMBER(G18),"Tipo incompatível",IF(IF(E18="&lt;&gt;",G18&lt;&gt;F18,G18=F18),IF(OR(J18="",K18="",NOT(ISNUMBER(L18)),L18&lt;=0),"Evidência pendente","Compatível"),"Divergente")))</f>
        <v/>
      </c>
      <c r="J18" s="12" t="inlineStr">
        <is>
          <t>etapa12-parciais/evidencias/comparacao-4.json; banco.json; registros.json; servidor-tela-acoes.log — fictício, sem aceite financeiro</t>
        </is>
      </c>
      <c r="K18" s="12" t="inlineStr">
        <is>
          <t>Codex — execução automatizada isolada; não responsável financeiro</t>
        </is>
      </c>
      <c r="L18" s="28" t="n">
        <v>46317.64012649305</v>
      </c>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v>1000000</v>
      </c>
      <c r="H19" s="32">
        <f>IF(AND(ISNUMBER(F19),ISNUMBER(G19)),G19-F19,"")</f>
        <v/>
      </c>
      <c r="I19" s="16">
        <f>IF(COUNTBLANK(G19)=1,"Não executado",IF(ISNUMBER(F19)&lt;&gt;ISNUMBER(G19),"Tipo incompatível",IF(IF(E19="&lt;&gt;",G19&lt;&gt;F19,G19=F19),IF(OR(J19="",K19="",NOT(ISNUMBER(L19)),L19&lt;=0),"Evidência pendente","Compatível"),"Divergente")))</f>
        <v/>
      </c>
      <c r="J19" s="12" t="inlineStr">
        <is>
          <t>etapa12-parciais/evidencias/comparacao-4.json; banco.json; registros.json; servidor-tela-acoes.log — fictício, sem aceite financeiro</t>
        </is>
      </c>
      <c r="K19" s="12" t="inlineStr">
        <is>
          <t>Codex — execução automatizada isolada; não responsável financeiro</t>
        </is>
      </c>
      <c r="L19" s="28" t="n">
        <v>46317.64012649305</v>
      </c>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v>700000</v>
      </c>
      <c r="H20" s="29">
        <f>IF(AND(ISNUMBER(F20),ISNUMBER(G20)),G20-F20,"")</f>
        <v/>
      </c>
      <c r="I20" s="20">
        <f>IF(COUNTBLANK(G20)=1,"Não executado",IF(ISNUMBER(F20)&lt;&gt;ISNUMBER(G20),"Tipo incompatível",IF(IF(E20="&lt;&gt;",G20&lt;&gt;F20,G20=F20),IF(OR(J20="",K20="",NOT(ISNUMBER(L20)),L20&lt;=0),"Evidência pendente","Compatível"),"Divergente")))</f>
        <v/>
      </c>
      <c r="J20" s="23" t="inlineStr">
        <is>
          <t>etapa12-parciais/evidencias/comparacao-4.json; banco.json; registros.json; servidor-tela-acoes.log — fictício, sem aceite financeiro</t>
        </is>
      </c>
      <c r="K20" s="23" t="inlineStr">
        <is>
          <t>Codex — execução automatizada isolada; não responsável financeiro</t>
        </is>
      </c>
      <c r="L20" s="31" t="n">
        <v>46317.64012649305</v>
      </c>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v>500000</v>
      </c>
      <c r="H21" s="32">
        <f>IF(AND(ISNUMBER(F21),ISNUMBER(G21)),G21-F21,"")</f>
        <v/>
      </c>
      <c r="I21" s="16">
        <f>IF(COUNTBLANK(G21)=1,"Não executado",IF(ISNUMBER(F21)&lt;&gt;ISNUMBER(G21),"Tipo incompatível",IF(IF(E21="&lt;&gt;",G21&lt;&gt;F21,G21=F21),IF(OR(J21="",K21="",NOT(ISNUMBER(L21)),L21&lt;=0),"Evidência pendente","Compatível"),"Divergente")))</f>
        <v/>
      </c>
      <c r="J21" s="12" t="inlineStr">
        <is>
          <t>etapa12-parciais/evidencias/comparacao-4.json; banco.json; registros.json; servidor-tela-acoes.log — fictício, sem aceite financeiro</t>
        </is>
      </c>
      <c r="K21" s="12" t="inlineStr">
        <is>
          <t>Codex — execução automatizada isolada; não responsável financeiro</t>
        </is>
      </c>
      <c r="L21" s="28" t="n">
        <v>46317.64012649305</v>
      </c>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v>500000</v>
      </c>
      <c r="H22" s="32">
        <f>IF(AND(ISNUMBER(F22),ISNUMBER(G22)),G22-F22,"")</f>
        <v/>
      </c>
      <c r="I22" s="16">
        <f>IF(COUNTBLANK(G22)=1,"Não executado",IF(ISNUMBER(F22)&lt;&gt;ISNUMBER(G22),"Tipo incompatível",IF(IF(E22="&lt;&gt;",G22&lt;&gt;F22,G22=F22),IF(OR(J22="",K22="",NOT(ISNUMBER(L22)),L22&lt;=0),"Evidência pendente","Compatível"),"Divergente")))</f>
        <v/>
      </c>
      <c r="J22" s="12" t="inlineStr">
        <is>
          <t>etapa12-parciais/evidencias/comparacao-4.json; banco.json; registros.json; servidor-tela-acoes.log — fictício, sem aceite financeiro</t>
        </is>
      </c>
      <c r="K22" s="12" t="inlineStr">
        <is>
          <t>Codex — execução automatizada isolada; não responsável financeiro</t>
        </is>
      </c>
      <c r="L22" s="28" t="n">
        <v>46317.64012649305</v>
      </c>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v>2</v>
      </c>
      <c r="H23" s="32">
        <f>IF(AND(ISNUMBER(F23),ISNUMBER(G23)),G23-F23,"")</f>
        <v/>
      </c>
      <c r="I23" s="16">
        <f>IF(COUNTBLANK(G23)=1,"Não executado",IF(ISNUMBER(F23)&lt;&gt;ISNUMBER(G23),"Tipo incompatível",IF(IF(E23="&lt;&gt;",G23&lt;&gt;F23,G23=F23),IF(OR(J23="",K23="",NOT(ISNUMBER(L23)),L23&lt;=0),"Evidência pendente","Compatível"),"Divergente")))</f>
        <v/>
      </c>
      <c r="J23" s="12" t="inlineStr">
        <is>
          <t>etapa12-parciais/evidencias/comparacao-4.json; banco.json; registros.json; servidor-tela-acoes.log — fictício, sem aceite financeiro</t>
        </is>
      </c>
      <c r="K23" s="12" t="inlineStr">
        <is>
          <t>Codex — execução automatizada isolada; não responsável financeiro</t>
        </is>
      </c>
      <c r="L23" s="28" t="n">
        <v>46317.64012649305</v>
      </c>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v>2</v>
      </c>
      <c r="H24" s="32">
        <f>IF(AND(ISNUMBER(F24),ISNUMBER(G24)),G24-F24,"")</f>
        <v/>
      </c>
      <c r="I24" s="16">
        <f>IF(COUNTBLANK(G24)=1,"Não executado",IF(ISNUMBER(F24)&lt;&gt;ISNUMBER(G24),"Tipo incompatível",IF(IF(E24="&lt;&gt;",G24&lt;&gt;F24,G24=F24),IF(OR(J24="",K24="",NOT(ISNUMBER(L24)),L24&lt;=0),"Evidência pendente","Compatível"),"Divergente")))</f>
        <v/>
      </c>
      <c r="J24" s="12" t="inlineStr">
        <is>
          <t>etapa12-parciais/evidencias/comparacao-4.json; banco.json; registros.json; servidor-tela-acoes.log — fictício, sem aceite financeiro</t>
        </is>
      </c>
      <c r="K24" s="12" t="inlineStr">
        <is>
          <t>Codex — execução automatizada isolada; não responsável financeiro</t>
        </is>
      </c>
      <c r="L24" s="28" t="n">
        <v>46317.64012649305</v>
      </c>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v>0</v>
      </c>
      <c r="H25" s="32">
        <f>IF(AND(ISNUMBER(F25),ISNUMBER(G25)),G25-F25,"")</f>
        <v/>
      </c>
      <c r="I25" s="16">
        <f>IF(COUNTBLANK(G25)=1,"Não executado",IF(ISNUMBER(F25)&lt;&gt;ISNUMBER(G25),"Tipo incompatível",IF(IF(E25="&lt;&gt;",G25&lt;&gt;F25,G25=F25),IF(OR(J25="",K25="",NOT(ISNUMBER(L25)),L25&lt;=0),"Evidência pendente","Compatível"),"Divergente")))</f>
        <v/>
      </c>
      <c r="J25" s="12" t="inlineStr">
        <is>
          <t>etapa12-parciais/evidencias/comparacao-4.json; banco.json; registros.json; servidor-tela-acoes.log — fictício, sem aceite financeiro</t>
        </is>
      </c>
      <c r="K25" s="12" t="inlineStr">
        <is>
          <t>Codex — execução automatizada isolada; não responsável financeiro</t>
        </is>
      </c>
      <c r="L25" s="28" t="n">
        <v>46317.64012649305</v>
      </c>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v>0</v>
      </c>
      <c r="H26" s="32">
        <f>IF(AND(ISNUMBER(F26),ISNUMBER(G26)),G26-F26,"")</f>
        <v/>
      </c>
      <c r="I26" s="16">
        <f>IF(COUNTBLANK(G26)=1,"Não executado",IF(ISNUMBER(F26)&lt;&gt;ISNUMBER(G26),"Tipo incompatível",IF(IF(E26="&lt;&gt;",G26&lt;&gt;F26,G26=F26),IF(OR(J26="",K26="",NOT(ISNUMBER(L26)),L26&lt;=0),"Evidência pendente","Compatível"),"Divergente")))</f>
        <v/>
      </c>
      <c r="J26" s="12" t="inlineStr">
        <is>
          <t>etapa12-parciais/evidencias/comparacao-4.json; banco.json; registros.json; servidor-tela-acoes.log — fictício, sem aceite financeiro</t>
        </is>
      </c>
      <c r="K26" s="12" t="inlineStr">
        <is>
          <t>Codex — execução automatizada isolada; não responsável financeiro</t>
        </is>
      </c>
      <c r="L26" s="28" t="n">
        <v>46317.64012649305</v>
      </c>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v>0</v>
      </c>
      <c r="H118" s="29">
        <f>IF(AND(ISNUMBER(F118),ISNUMBER(G118)),G118-F118,"")</f>
        <v/>
      </c>
      <c r="I118" s="20">
        <f>IF(COUNTBLANK(G118)=1,"Não executado",IF(ISNUMBER(F118)&lt;&gt;ISNUMBER(G118),"Tipo incompatível",IF(IF(E118="&lt;&gt;",G118&lt;&gt;F118,G118=F118),IF(OR(J118="",K118="",NOT(ISNUMBER(L118)),L118&lt;=0),"Evidência pendente","Compatível"),"Divergente")))</f>
        <v/>
      </c>
      <c r="J118" s="23" t="inlineStr">
        <is>
          <t>etapa10-ct10/evidencias/comparacao-ct10.json; banco.json; registros-ct10.json — massa fictícia; sem aceite financeiro</t>
        </is>
      </c>
      <c r="K118" s="23" t="inlineStr">
        <is>
          <t>Codex — execução automatizada isolada, não responsável financeiro</t>
        </is>
      </c>
      <c r="L118" s="31" t="n">
        <v>46317.48563835648</v>
      </c>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v>0</v>
      </c>
      <c r="H119" s="32">
        <f>IF(AND(ISNUMBER(F119),ISNUMBER(G119)),G119-F119,"")</f>
        <v/>
      </c>
      <c r="I119" s="16">
        <f>IF(COUNTBLANK(G119)=1,"Não executado",IF(ISNUMBER(F119)&lt;&gt;ISNUMBER(G119),"Tipo incompatível",IF(IF(E119="&lt;&gt;",G119&lt;&gt;F119,G119=F119),IF(OR(J119="",K119="",NOT(ISNUMBER(L119)),L119&lt;=0),"Evidência pendente","Compatível"),"Divergente")))</f>
        <v/>
      </c>
      <c r="J119" s="12" t="inlineStr">
        <is>
          <t>etapa10-ct10/evidencias/comparacao-ct10.json; banco.json; registros-ct10.json — massa fictícia; sem aceite financeiro</t>
        </is>
      </c>
      <c r="K119" s="12" t="inlineStr">
        <is>
          <t>Codex — execução automatizada isolada, não responsável financeiro</t>
        </is>
      </c>
      <c r="L119" s="28" t="n">
        <v>46317.48563835648</v>
      </c>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v>0</v>
      </c>
      <c r="H120" s="32">
        <f>IF(AND(ISNUMBER(F120),ISNUMBER(G120)),G120-F120,"")</f>
        <v/>
      </c>
      <c r="I120" s="16">
        <f>IF(COUNTBLANK(G120)=1,"Não executado",IF(ISNUMBER(F120)&lt;&gt;ISNUMBER(G120),"Tipo incompatível",IF(IF(E120="&lt;&gt;",G120&lt;&gt;F120,G120=F120),IF(OR(J120="",K120="",NOT(ISNUMBER(L120)),L120&lt;=0),"Evidência pendente","Compatível"),"Divergente")))</f>
        <v/>
      </c>
      <c r="J120" s="12" t="inlineStr">
        <is>
          <t>etapa10-ct10/evidencias/comparacao-ct10.json; banco.json; registros-ct10.json — massa fictícia; sem aceite financeiro</t>
        </is>
      </c>
      <c r="K120" s="12" t="inlineStr">
        <is>
          <t>Codex — execução automatizada isolada, não responsável financeiro</t>
        </is>
      </c>
      <c r="L120" s="28" t="n">
        <v>46317.48563835648</v>
      </c>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v>0</v>
      </c>
      <c r="H121" s="32">
        <f>IF(AND(ISNUMBER(F121),ISNUMBER(G121)),G121-F121,"")</f>
        <v/>
      </c>
      <c r="I121" s="16">
        <f>IF(COUNTBLANK(G121)=1,"Não executado",IF(ISNUMBER(F121)&lt;&gt;ISNUMBER(G121),"Tipo incompatível",IF(IF(E121="&lt;&gt;",G121&lt;&gt;F121,G121=F121),IF(OR(J121="",K121="",NOT(ISNUMBER(L121)),L121&lt;=0),"Evidência pendente","Compatível"),"Divergente")))</f>
        <v/>
      </c>
      <c r="J121" s="12" t="inlineStr">
        <is>
          <t>etapa10-ct10/evidencias/comparacao-ct10.json; banco.json; registros-ct10.json — massa fictícia; sem aceite financeiro</t>
        </is>
      </c>
      <c r="K121" s="12" t="inlineStr">
        <is>
          <t>Codex — execução automatizada isolada, não responsável financeiro</t>
        </is>
      </c>
      <c r="L121" s="28" t="n">
        <v>46317.48563835648</v>
      </c>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v>0</v>
      </c>
      <c r="H122" s="32">
        <f>IF(AND(ISNUMBER(F122),ISNUMBER(G122)),G122-F122,"")</f>
        <v/>
      </c>
      <c r="I122" s="16">
        <f>IF(COUNTBLANK(G122)=1,"Não executado",IF(ISNUMBER(F122)&lt;&gt;ISNUMBER(G122),"Tipo incompatível",IF(IF(E122="&lt;&gt;",G122&lt;&gt;F122,G122=F122),IF(OR(J122="",K122="",NOT(ISNUMBER(L122)),L122&lt;=0),"Evidência pendente","Compatível"),"Divergente")))</f>
        <v/>
      </c>
      <c r="J122" s="12" t="inlineStr">
        <is>
          <t>etapa10-ct10/evidencias/comparacao-ct10.json; banco.json; registros-ct10.json — massa fictícia; sem aceite financeiro</t>
        </is>
      </c>
      <c r="K122" s="12" t="inlineStr">
        <is>
          <t>Codex — execução automatizada isolada, não responsável financeiro</t>
        </is>
      </c>
      <c r="L122" s="28" t="n">
        <v>46317.48563835648</v>
      </c>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v>1000000</v>
      </c>
      <c r="H123" s="32">
        <f>IF(AND(ISNUMBER(F123),ISNUMBER(G123)),G123-F123,"")</f>
        <v/>
      </c>
      <c r="I123" s="16">
        <f>IF(COUNTBLANK(G123)=1,"Não executado",IF(ISNUMBER(F123)&lt;&gt;ISNUMBER(G123),"Tipo incompatível",IF(IF(E123="&lt;&gt;",G123&lt;&gt;F123,G123=F123),IF(OR(J123="",K123="",NOT(ISNUMBER(L123)),L123&lt;=0),"Evidência pendente","Compatível"),"Divergente")))</f>
        <v/>
      </c>
      <c r="J123" s="12" t="inlineStr">
        <is>
          <t>etapa10-ct10/evidencias/comparacao-ct10.json; banco.json; registros-ct10.json — massa fictícia; sem aceite financeiro</t>
        </is>
      </c>
      <c r="K123" s="12" t="inlineStr">
        <is>
          <t>Codex — execução automatizada isolada, não responsável financeiro</t>
        </is>
      </c>
      <c r="L123" s="28" t="n">
        <v>46317.48563835648</v>
      </c>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v>400000</v>
      </c>
      <c r="H124" s="32">
        <f>IF(AND(ISNUMBER(F124),ISNUMBER(G124)),G124-F124,"")</f>
        <v/>
      </c>
      <c r="I124" s="16">
        <f>IF(COUNTBLANK(G124)=1,"Não executado",IF(ISNUMBER(F124)&lt;&gt;ISNUMBER(G124),"Tipo incompatível",IF(IF(E124="&lt;&gt;",G124&lt;&gt;F124,G124=F124),IF(OR(J124="",K124="",NOT(ISNUMBER(L124)),L124&lt;=0),"Evidência pendente","Compatível"),"Divergente")))</f>
        <v/>
      </c>
      <c r="J124" s="12" t="inlineStr">
        <is>
          <t>etapa10-ct10/evidencias/comparacao-ct10.json; banco.json; registros-ct10.json — massa fictícia; sem aceite financeiro</t>
        </is>
      </c>
      <c r="K124" s="12" t="inlineStr">
        <is>
          <t>Codex — execução automatizada isolada, não responsável financeiro</t>
        </is>
      </c>
      <c r="L124" s="28" t="n">
        <v>46317.48563835648</v>
      </c>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v>1000000</v>
      </c>
      <c r="H125" s="32">
        <f>IF(AND(ISNUMBER(F125),ISNUMBER(G125)),G125-F125,"")</f>
        <v/>
      </c>
      <c r="I125" s="16">
        <f>IF(COUNTBLANK(G125)=1,"Não executado",IF(ISNUMBER(F125)&lt;&gt;ISNUMBER(G125),"Tipo incompatível",IF(IF(E125="&lt;&gt;",G125&lt;&gt;F125,G125=F125),IF(OR(J125="",K125="",NOT(ISNUMBER(L125)),L125&lt;=0),"Evidência pendente","Compatível"),"Divergente")))</f>
        <v/>
      </c>
      <c r="J125" s="12" t="inlineStr">
        <is>
          <t>etapa10-ct10/evidencias/comparacao-ct10.json; banco.json; registros-ct10.json — massa fictícia; sem aceite financeiro</t>
        </is>
      </c>
      <c r="K125" s="12" t="inlineStr">
        <is>
          <t>Codex — execução automatizada isolada, não responsável financeiro</t>
        </is>
      </c>
      <c r="L125" s="28" t="n">
        <v>46317.48563835648</v>
      </c>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v>600000</v>
      </c>
      <c r="H126" s="32">
        <f>IF(AND(ISNUMBER(F126),ISNUMBER(G126)),G126-F126,"")</f>
        <v/>
      </c>
      <c r="I126" s="16">
        <f>IF(COUNTBLANK(G126)=1,"Não executado",IF(ISNUMBER(F126)&lt;&gt;ISNUMBER(G126),"Tipo incompatível",IF(IF(E126="&lt;&gt;",G126&lt;&gt;F126,G126=F126),IF(OR(J126="",K126="",NOT(ISNUMBER(L126)),L126&lt;=0),"Evidência pendente","Compatível"),"Divergente")))</f>
        <v/>
      </c>
      <c r="J126" s="12" t="inlineStr">
        <is>
          <t>etapa10-ct10/evidencias/comparacao-ct10.json; banco.json; registros-ct10.json — massa fictícia; sem aceite financeiro</t>
        </is>
      </c>
      <c r="K126" s="12" t="inlineStr">
        <is>
          <t>Codex — execução automatizada isolada, não responsável financeiro</t>
        </is>
      </c>
      <c r="L126" s="28" t="n">
        <v>46317.48563835648</v>
      </c>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v>400000</v>
      </c>
      <c r="H127" s="32">
        <f>IF(AND(ISNUMBER(F127),ISNUMBER(G127)),G127-F127,"")</f>
        <v/>
      </c>
      <c r="I127" s="16">
        <f>IF(COUNTBLANK(G127)=1,"Não executado",IF(ISNUMBER(F127)&lt;&gt;ISNUMBER(G127),"Tipo incompatível",IF(IF(E127="&lt;&gt;",G127&lt;&gt;F127,G127=F127),IF(OR(J127="",K127="",NOT(ISNUMBER(L127)),L127&lt;=0),"Evidência pendente","Compatível"),"Divergente")))</f>
        <v/>
      </c>
      <c r="J127" s="12" t="inlineStr">
        <is>
          <t>etapa10-ct10/evidencias/comparacao-ct10.json; banco.json; registros-ct10.json — massa fictícia; sem aceite financeiro</t>
        </is>
      </c>
      <c r="K127" s="12" t="inlineStr">
        <is>
          <t>Codex — execução automatizada isolada, não responsável financeiro</t>
        </is>
      </c>
      <c r="L127" s="28" t="n">
        <v>46317.48563835648</v>
      </c>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v>0</v>
      </c>
      <c r="H128" s="32">
        <f>IF(AND(ISNUMBER(F128),ISNUMBER(G128)),G128-F128,"")</f>
        <v/>
      </c>
      <c r="I128" s="16">
        <f>IF(COUNTBLANK(G128)=1,"Não executado",IF(ISNUMBER(F128)&lt;&gt;ISNUMBER(G128),"Tipo incompatível",IF(IF(E128="&lt;&gt;",G128&lt;&gt;F128,G128=F128),IF(OR(J128="",K128="",NOT(ISNUMBER(L128)),L128&lt;=0),"Evidência pendente","Compatível"),"Divergente")))</f>
        <v/>
      </c>
      <c r="J128" s="12" t="inlineStr">
        <is>
          <t>etapa10-ct10/evidencias/comparacao-ct10.json; banco.json; registros-ct10.json — massa fictícia; sem aceite financeiro</t>
        </is>
      </c>
      <c r="K128" s="12" t="inlineStr">
        <is>
          <t>Codex — execução automatizada isolada, não responsável financeiro</t>
        </is>
      </c>
      <c r="L128" s="28" t="n">
        <v>46317.48563835648</v>
      </c>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v>0</v>
      </c>
      <c r="H214" s="29">
        <f>IF(AND(ISNUMBER(F214),ISNUMBER(G214)),G214-F214,"")</f>
        <v/>
      </c>
      <c r="I214" s="20">
        <f>IF(COUNTBLANK(G214)=1,"Não executado",IF(ISNUMBER(F214)&lt;&gt;ISNUMBER(G214),"Tipo incompatível",IF(IF(E214="&lt;&gt;",G214&lt;&gt;F214,G214=F214),IF(OR(J214="",K214="",NOT(ISNUMBER(L214)),L214&lt;=0),"Evidência pendente","Compatível"),"Divergente")))</f>
        <v/>
      </c>
      <c r="J214" s="23" t="inlineStr">
        <is>
          <t>etapa12-parciais/evidencias/comparacao-4.json; banco.json; registros.json; servidor-tela-acoes.log — fictício, sem aceite financeiro</t>
        </is>
      </c>
      <c r="K214" s="23" t="inlineStr">
        <is>
          <t>Codex — execução automatizada isolada; não responsável financeiro</t>
        </is>
      </c>
      <c r="L214" s="31" t="n">
        <v>46317.64012649305</v>
      </c>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v>0</v>
      </c>
      <c r="H215" s="32">
        <f>IF(AND(ISNUMBER(F215),ISNUMBER(G215)),G215-F215,"")</f>
        <v/>
      </c>
      <c r="I215" s="16">
        <f>IF(COUNTBLANK(G215)=1,"Não executado",IF(ISNUMBER(F215)&lt;&gt;ISNUMBER(G215),"Tipo incompatível",IF(IF(E215="&lt;&gt;",G215&lt;&gt;F215,G215=F215),IF(OR(J215="",K215="",NOT(ISNUMBER(L215)),L215&lt;=0),"Evidência pendente","Compatível"),"Divergente")))</f>
        <v/>
      </c>
      <c r="J215" s="12" t="inlineStr">
        <is>
          <t>etapa12-parciais/evidencias/comparacao-4.json; banco.json; registros.json; servidor-tela-acoes.log — fictício, sem aceite financeiro</t>
        </is>
      </c>
      <c r="K215" s="12" t="inlineStr">
        <is>
          <t>Codex — execução automatizada isolada; não responsável financeiro</t>
        </is>
      </c>
      <c r="L215" s="28" t="n">
        <v>46317.64012649305</v>
      </c>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v>10000000</v>
      </c>
      <c r="H216" s="32">
        <f>IF(AND(ISNUMBER(F216),ISNUMBER(G216)),G216-F216,"")</f>
        <v/>
      </c>
      <c r="I216" s="16">
        <f>IF(COUNTBLANK(G216)=1,"Não executado",IF(ISNUMBER(F216)&lt;&gt;ISNUMBER(G216),"Tipo incompatível",IF(IF(E216="&lt;&gt;",G216&lt;&gt;F216,G216=F216),IF(OR(J216="",K216="",NOT(ISNUMBER(L216)),L216&lt;=0),"Evidência pendente","Compatível"),"Divergente")))</f>
        <v/>
      </c>
      <c r="J216" s="12" t="inlineStr">
        <is>
          <t>etapa12-parciais/evidencias/comparacao-4.json; banco.json; registros.json; servidor-tela-acoes.log — fictício, sem aceite financeiro</t>
        </is>
      </c>
      <c r="K216" s="12" t="inlineStr">
        <is>
          <t>Codex — execução automatizada isolada; não responsável financeiro</t>
        </is>
      </c>
      <c r="L216" s="28" t="n">
        <v>46317.64012649305</v>
      </c>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v>10000000</v>
      </c>
      <c r="H217" s="32">
        <f>IF(AND(ISNUMBER(F217),ISNUMBER(G217)),G217-F217,"")</f>
        <v/>
      </c>
      <c r="I217" s="16">
        <f>IF(COUNTBLANK(G217)=1,"Não executado",IF(ISNUMBER(F217)&lt;&gt;ISNUMBER(G217),"Tipo incompatível",IF(IF(E217="&lt;&gt;",G217&lt;&gt;F217,G217=F217),IF(OR(J217="",K217="",NOT(ISNUMBER(L217)),L217&lt;=0),"Evidência pendente","Compatível"),"Divergente")))</f>
        <v/>
      </c>
      <c r="J217" s="12" t="inlineStr">
        <is>
          <t>etapa12-parciais/evidencias/comparacao-4.json; banco.json; registros.json; servidor-tela-acoes.log — fictício, sem aceite financeiro</t>
        </is>
      </c>
      <c r="K217" s="12" t="inlineStr">
        <is>
          <t>Codex — execução automatizada isolada; não responsável financeiro</t>
        </is>
      </c>
      <c r="L217" s="28" t="n">
        <v>46317.64012649305</v>
      </c>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v>0</v>
      </c>
      <c r="H218" s="32">
        <f>IF(AND(ISNUMBER(F218),ISNUMBER(G218)),G218-F218,"")</f>
        <v/>
      </c>
      <c r="I218" s="16">
        <f>IF(COUNTBLANK(G218)=1,"Não executado",IF(ISNUMBER(F218)&lt;&gt;ISNUMBER(G218),"Tipo incompatível",IF(IF(E218="&lt;&gt;",G218&lt;&gt;F218,G218=F218),IF(OR(J218="",K218="",NOT(ISNUMBER(L218)),L218&lt;=0),"Evidência pendente","Compatível"),"Divergente")))</f>
        <v/>
      </c>
      <c r="J218" s="12" t="inlineStr">
        <is>
          <t>etapa12-parciais/evidencias/comparacao-4.json; banco.json; registros.json; servidor-tela-acoes.log — fictício, sem aceite financeiro</t>
        </is>
      </c>
      <c r="K218" s="12" t="inlineStr">
        <is>
          <t>Codex — execução automatizada isolada; não responsável financeiro</t>
        </is>
      </c>
      <c r="L218" s="28" t="n">
        <v>46317.64012649305</v>
      </c>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v>0</v>
      </c>
      <c r="H219" s="32">
        <f>IF(AND(ISNUMBER(F219),ISNUMBER(G219)),G219-F219,"")</f>
        <v/>
      </c>
      <c r="I219" s="16">
        <f>IF(COUNTBLANK(G219)=1,"Não executado",IF(ISNUMBER(F219)&lt;&gt;ISNUMBER(G219),"Tipo incompatível",IF(IF(E219="&lt;&gt;",G219&lt;&gt;F219,G219=F219),IF(OR(J219="",K219="",NOT(ISNUMBER(L219)),L219&lt;=0),"Evidência pendente","Compatível"),"Divergente")))</f>
        <v/>
      </c>
      <c r="J219" s="12" t="inlineStr">
        <is>
          <t>etapa12-parciais/evidencias/comparacao-4.json; banco.json; registros.json; servidor-tela-acoes.log — fictício, sem aceite financeiro</t>
        </is>
      </c>
      <c r="K219" s="12" t="inlineStr">
        <is>
          <t>Codex — execução automatizada isolada; não responsável financeiro</t>
        </is>
      </c>
      <c r="L219" s="28" t="n">
        <v>46317.64012649305</v>
      </c>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v>6000000</v>
      </c>
      <c r="H220" s="32">
        <f>IF(AND(ISNUMBER(F220),ISNUMBER(G220)),G220-F220,"")</f>
        <v/>
      </c>
      <c r="I220" s="16">
        <f>IF(COUNTBLANK(G220)=1,"Não executado",IF(ISNUMBER(F220)&lt;&gt;ISNUMBER(G220),"Tipo incompatível",IF(IF(E220="&lt;&gt;",G220&lt;&gt;F220,G220=F220),IF(OR(J220="",K220="",NOT(ISNUMBER(L220)),L220&lt;=0),"Evidência pendente","Compatível"),"Divergente")))</f>
        <v/>
      </c>
      <c r="J220" s="12" t="inlineStr">
        <is>
          <t>etapa12-parciais/evidencias/comparacao-4.json; banco.json; registros.json; servidor-tela-acoes.log — fictício, sem aceite financeiro</t>
        </is>
      </c>
      <c r="K220" s="12" t="inlineStr">
        <is>
          <t>Codex — execução automatizada isolada; não responsável financeiro</t>
        </is>
      </c>
      <c r="L220" s="28" t="n">
        <v>46317.64012649305</v>
      </c>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v>4000000</v>
      </c>
      <c r="H221" s="32">
        <f>IF(AND(ISNUMBER(F221),ISNUMBER(G221)),G221-F221,"")</f>
        <v/>
      </c>
      <c r="I221" s="16">
        <f>IF(COUNTBLANK(G221)=1,"Não executado",IF(ISNUMBER(F221)&lt;&gt;ISNUMBER(G221),"Tipo incompatível",IF(IF(E221="&lt;&gt;",G221&lt;&gt;F221,G221=F221),IF(OR(J221="",K221="",NOT(ISNUMBER(L221)),L221&lt;=0),"Evidência pendente","Compatível"),"Divergente")))</f>
        <v/>
      </c>
      <c r="J221" s="12" t="inlineStr">
        <is>
          <t>etapa12-parciais/evidencias/comparacao-4.json; banco.json; registros.json; servidor-tela-acoes.log — fictício, sem aceite financeiro</t>
        </is>
      </c>
      <c r="K221" s="12" t="inlineStr">
        <is>
          <t>Codex — execução automatizada isolada; não responsável financeiro</t>
        </is>
      </c>
      <c r="L221" s="28" t="n">
        <v>46317.64012649305</v>
      </c>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v>10000000</v>
      </c>
      <c r="H222" s="32">
        <f>IF(AND(ISNUMBER(F222),ISNUMBER(G222)),G222-F222,"")</f>
        <v/>
      </c>
      <c r="I222" s="16">
        <f>IF(COUNTBLANK(G222)=1,"Não executado",IF(ISNUMBER(F222)&lt;&gt;ISNUMBER(G222),"Tipo incompatível",IF(IF(E222="&lt;&gt;",G222&lt;&gt;F222,G222=F222),IF(OR(J222="",K222="",NOT(ISNUMBER(L222)),L222&lt;=0),"Evidência pendente","Compatível"),"Divergente")))</f>
        <v/>
      </c>
      <c r="J222" s="12" t="inlineStr">
        <is>
          <t>etapa12-parciais/evidencias/comparacao-4.json; banco.json; registros.json; servidor-tela-acoes.log — fictício, sem aceite financeiro</t>
        </is>
      </c>
      <c r="K222" s="12" t="inlineStr">
        <is>
          <t>Codex — execução automatizada isolada; não responsável financeiro</t>
        </is>
      </c>
      <c r="L222" s="28" t="n">
        <v>46317.64012649305</v>
      </c>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v>0</v>
      </c>
      <c r="H223" s="32">
        <f>IF(AND(ISNUMBER(F223),ISNUMBER(G223)),G223-F223,"")</f>
        <v/>
      </c>
      <c r="I223" s="16">
        <f>IF(COUNTBLANK(G223)=1,"Não executado",IF(ISNUMBER(F223)&lt;&gt;ISNUMBER(G223),"Tipo incompatível",IF(IF(E223="&lt;&gt;",G223&lt;&gt;F223,G223=F223),IF(OR(J223="",K223="",NOT(ISNUMBER(L223)),L223&lt;=0),"Evidência pendente","Compatível"),"Divergente")))</f>
        <v/>
      </c>
      <c r="J223" s="12" t="inlineStr">
        <is>
          <t>etapa12-parciais/evidencias/comparacao-4.json; banco.json; registros.json; servidor-tela-acoes.log — fictício, sem aceite financeiro</t>
        </is>
      </c>
      <c r="K223" s="12" t="inlineStr">
        <is>
          <t>Codex — execução automatizada isolada; não responsável financeiro</t>
        </is>
      </c>
      <c r="L223" s="28" t="n">
        <v>46317.64012649305</v>
      </c>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v>2000000</v>
      </c>
      <c r="H224" s="32">
        <f>IF(AND(ISNUMBER(F224),ISNUMBER(G224)),G224-F224,"")</f>
        <v/>
      </c>
      <c r="I224" s="16">
        <f>IF(COUNTBLANK(G224)=1,"Não executado",IF(ISNUMBER(F224)&lt;&gt;ISNUMBER(G224),"Tipo incompatível",IF(IF(E224="&lt;&gt;",G224&lt;&gt;F224,G224=F224),IF(OR(J224="",K224="",NOT(ISNUMBER(L224)),L224&lt;=0),"Evidência pendente","Compatível"),"Divergente")))</f>
        <v/>
      </c>
      <c r="J224" s="12" t="inlineStr">
        <is>
          <t>etapa12-parciais/evidencias/comparacao-4.json; banco.json; registros.json; servidor-tela-acoes.log — fictício, sem aceite financeiro</t>
        </is>
      </c>
      <c r="K224" s="12" t="inlineStr">
        <is>
          <t>Codex — execução automatizada isolada; não responsável financeiro</t>
        </is>
      </c>
      <c r="L224" s="28" t="n">
        <v>46317.64012649305</v>
      </c>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v>4000000</v>
      </c>
      <c r="H225" s="32">
        <f>IF(AND(ISNUMBER(F225),ISNUMBER(G225)),G225-F225,"")</f>
        <v/>
      </c>
      <c r="I225" s="16">
        <f>IF(COUNTBLANK(G225)=1,"Não executado",IF(ISNUMBER(F225)&lt;&gt;ISNUMBER(G225),"Tipo incompatível",IF(IF(E225="&lt;&gt;",G225&lt;&gt;F225,G225=F225),IF(OR(J225="",K225="",NOT(ISNUMBER(L225)),L225&lt;=0),"Evidência pendente","Compatível"),"Divergente")))</f>
        <v/>
      </c>
      <c r="J225" s="12" t="inlineStr">
        <is>
          <t>etapa12-parciais/evidencias/comparacao-4.json; banco.json; registros.json; servidor-tela-acoes.log — fictício, sem aceite financeiro</t>
        </is>
      </c>
      <c r="K225" s="12" t="inlineStr">
        <is>
          <t>Codex — execução automatizada isolada; não responsável financeiro</t>
        </is>
      </c>
      <c r="L225" s="28" t="n">
        <v>46317.64012649305</v>
      </c>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v>4000000</v>
      </c>
      <c r="H226" s="32">
        <f>IF(AND(ISNUMBER(F226),ISNUMBER(G226)),G226-F226,"")</f>
        <v/>
      </c>
      <c r="I226" s="16">
        <f>IF(COUNTBLANK(G226)=1,"Não executado",IF(ISNUMBER(F226)&lt;&gt;ISNUMBER(G226),"Tipo incompatível",IF(IF(E226="&lt;&gt;",G226&lt;&gt;F226,G226=F226),IF(OR(J226="",K226="",NOT(ISNUMBER(L226)),L226&lt;=0),"Evidência pendente","Compatível"),"Divergente")))</f>
        <v/>
      </c>
      <c r="J226" s="12" t="inlineStr">
        <is>
          <t>etapa12-parciais/evidencias/comparacao-4.json; banco.json; registros.json; servidor-tela-acoes.log — fictício, sem aceite financeiro</t>
        </is>
      </c>
      <c r="K226" s="12" t="inlineStr">
        <is>
          <t>Codex — execução automatizada isolada; não responsável financeiro</t>
        </is>
      </c>
      <c r="L226" s="28" t="n">
        <v>46317.64012649305</v>
      </c>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v>10000000</v>
      </c>
      <c r="H227" s="32">
        <f>IF(AND(ISNUMBER(F227),ISNUMBER(G227)),G227-F227,"")</f>
        <v/>
      </c>
      <c r="I227" s="16">
        <f>IF(COUNTBLANK(G227)=1,"Não executado",IF(ISNUMBER(F227)&lt;&gt;ISNUMBER(G227),"Tipo incompatível",IF(IF(E227="&lt;&gt;",G227&lt;&gt;F227,G227=F227),IF(OR(J227="",K227="",NOT(ISNUMBER(L227)),L227&lt;=0),"Evidência pendente","Compatível"),"Divergente")))</f>
        <v/>
      </c>
      <c r="J227" s="12" t="inlineStr">
        <is>
          <t>etapa12-parciais/evidencias/comparacao-4.json; banco.json; registros.json; servidor-tela-acoes.log — fictício, sem aceite financeiro</t>
        </is>
      </c>
      <c r="K227" s="12" t="inlineStr">
        <is>
          <t>Codex — execução automatizada isolada; não responsável financeiro</t>
        </is>
      </c>
      <c r="L227" s="28" t="n">
        <v>46317.64012649305</v>
      </c>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v>0</v>
      </c>
      <c r="H228" s="32">
        <f>IF(AND(ISNUMBER(F228),ISNUMBER(G228)),G228-F228,"")</f>
        <v/>
      </c>
      <c r="I228" s="16">
        <f>IF(COUNTBLANK(G228)=1,"Não executado",IF(ISNUMBER(F228)&lt;&gt;ISNUMBER(G228),"Tipo incompatível",IF(IF(E228="&lt;&gt;",G228&lt;&gt;F228,G228=F228),IF(OR(J228="",K228="",NOT(ISNUMBER(L228)),L228&lt;=0),"Evidência pendente","Compatível"),"Divergente")))</f>
        <v/>
      </c>
      <c r="J228" s="12" t="inlineStr">
        <is>
          <t>etapa12-parciais/evidencias/comparacao-4.json; banco.json; registros.json; servidor-tela-acoes.log — fictício, sem aceite financeiro</t>
        </is>
      </c>
      <c r="K228" s="12" t="inlineStr">
        <is>
          <t>Codex — execução automatizada isolada; não responsável financeiro</t>
        </is>
      </c>
      <c r="L228" s="28" t="n">
        <v>46317.64012649305</v>
      </c>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v>1500000</v>
      </c>
      <c r="H229" s="32">
        <f>IF(AND(ISNUMBER(F229),ISNUMBER(G229)),G229-F229,"")</f>
        <v/>
      </c>
      <c r="I229" s="16">
        <f>IF(COUNTBLANK(G229)=1,"Não executado",IF(ISNUMBER(F229)&lt;&gt;ISNUMBER(G229),"Tipo incompatível",IF(IF(E229="&lt;&gt;",G229&lt;&gt;F229,G229=F229),IF(OR(J229="",K229="",NOT(ISNUMBER(L229)),L229&lt;=0),"Evidência pendente","Compatível"),"Divergente")))</f>
        <v/>
      </c>
      <c r="J229" s="12" t="inlineStr">
        <is>
          <t>etapa12-parciais/evidencias/comparacao-4.json; banco.json; registros.json; servidor-tela-acoes.log — fictício, sem aceite financeiro</t>
        </is>
      </c>
      <c r="K229" s="12" t="inlineStr">
        <is>
          <t>Codex — execução automatizada isolada; não responsável financeiro</t>
        </is>
      </c>
      <c r="L229" s="28" t="n">
        <v>46317.64012649305</v>
      </c>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v>4000000</v>
      </c>
      <c r="H230" s="32">
        <f>IF(AND(ISNUMBER(F230),ISNUMBER(G230)),G230-F230,"")</f>
        <v/>
      </c>
      <c r="I230" s="16">
        <f>IF(COUNTBLANK(G230)=1,"Não executado",IF(ISNUMBER(F230)&lt;&gt;ISNUMBER(G230),"Tipo incompatível",IF(IF(E230="&lt;&gt;",G230&lt;&gt;F230,G230=F230),IF(OR(J230="",K230="",NOT(ISNUMBER(L230)),L230&lt;=0),"Evidência pendente","Compatível"),"Divergente")))</f>
        <v/>
      </c>
      <c r="J230" s="12" t="inlineStr">
        <is>
          <t>etapa12-parciais/evidencias/comparacao-4.json; banco.json; registros.json; servidor-tela-acoes.log — fictício, sem aceite financeiro</t>
        </is>
      </c>
      <c r="K230" s="12" t="inlineStr">
        <is>
          <t>Codex — execução automatizada isolada; não responsável financeiro</t>
        </is>
      </c>
      <c r="L230" s="28" t="n">
        <v>46317.64012649305</v>
      </c>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v>4000000</v>
      </c>
      <c r="H231" s="32">
        <f>IF(AND(ISNUMBER(F231),ISNUMBER(G231)),G231-F231,"")</f>
        <v/>
      </c>
      <c r="I231" s="16">
        <f>IF(COUNTBLANK(G231)=1,"Não executado",IF(ISNUMBER(F231)&lt;&gt;ISNUMBER(G231),"Tipo incompatível",IF(IF(E231="&lt;&gt;",G231&lt;&gt;F231,G231=F231),IF(OR(J231="",K231="",NOT(ISNUMBER(L231)),L231&lt;=0),"Evidência pendente","Compatível"),"Divergente")))</f>
        <v/>
      </c>
      <c r="J231" s="12" t="inlineStr">
        <is>
          <t>etapa12-parciais/evidencias/comparacao-4.json; banco.json; registros.json; servidor-tela-acoes.log — fictício, sem aceite financeiro</t>
        </is>
      </c>
      <c r="K231" s="12" t="inlineStr">
        <is>
          <t>Codex — execução automatizada isolada; não responsável financeiro</t>
        </is>
      </c>
      <c r="L231" s="28" t="n">
        <v>46317.64012649305</v>
      </c>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v>9500000</v>
      </c>
      <c r="H232" s="32">
        <f>IF(AND(ISNUMBER(F232),ISNUMBER(G232)),G232-F232,"")</f>
        <v/>
      </c>
      <c r="I232" s="16">
        <f>IF(COUNTBLANK(G232)=1,"Não executado",IF(ISNUMBER(F232)&lt;&gt;ISNUMBER(G232),"Tipo incompatível",IF(IF(E232="&lt;&gt;",G232&lt;&gt;F232,G232=F232),IF(OR(J232="",K232="",NOT(ISNUMBER(L232)),L232&lt;=0),"Evidência pendente","Compatível"),"Divergente")))</f>
        <v/>
      </c>
      <c r="J232" s="12" t="inlineStr">
        <is>
          <t>etapa12-parciais/evidencias/comparacao-4.json; banco.json; registros.json; servidor-tela-acoes.log — fictício, sem aceite financeiro</t>
        </is>
      </c>
      <c r="K232" s="12" t="inlineStr">
        <is>
          <t>Codex — execução automatizada isolada; não responsável financeiro</t>
        </is>
      </c>
      <c r="L232" s="28" t="n">
        <v>46317.64012649305</v>
      </c>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v>0</v>
      </c>
      <c r="H233" s="32">
        <f>IF(AND(ISNUMBER(F233),ISNUMBER(G233)),G233-F233,"")</f>
        <v/>
      </c>
      <c r="I233" s="16">
        <f>IF(COUNTBLANK(G233)=1,"Não executado",IF(ISNUMBER(F233)&lt;&gt;ISNUMBER(G233),"Tipo incompatível",IF(IF(E233="&lt;&gt;",G233&lt;&gt;F233,G233=F233),IF(OR(J233="",K233="",NOT(ISNUMBER(L233)),L233&lt;=0),"Evidência pendente","Compatível"),"Divergente")))</f>
        <v/>
      </c>
      <c r="J233" s="12" t="inlineStr">
        <is>
          <t>etapa12-parciais/evidencias/comparacao-4.json; banco.json; registros.json; servidor-tela-acoes.log — fictício, sem aceite financeiro</t>
        </is>
      </c>
      <c r="K233" s="12" t="inlineStr">
        <is>
          <t>Codex — execução automatizada isolada; não responsável financeiro</t>
        </is>
      </c>
      <c r="L233" s="28" t="n">
        <v>46317.64012649305</v>
      </c>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v>1500000</v>
      </c>
      <c r="H234" s="32">
        <f>IF(AND(ISNUMBER(F234),ISNUMBER(G234)),G234-F234,"")</f>
        <v/>
      </c>
      <c r="I234" s="16">
        <f>IF(COUNTBLANK(G234)=1,"Não executado",IF(ISNUMBER(F234)&lt;&gt;ISNUMBER(G234),"Tipo incompatível",IF(IF(E234="&lt;&gt;",G234&lt;&gt;F234,G234=F234),IF(OR(J234="",K234="",NOT(ISNUMBER(L234)),L234&lt;=0),"Evidência pendente","Compatível"),"Divergente")))</f>
        <v/>
      </c>
      <c r="J234" s="12" t="inlineStr">
        <is>
          <t>etapa12-parciais/evidencias/comparacao-4.json; banco.json; registros.json; servidor-tela-acoes.log — fictício, sem aceite financeiro</t>
        </is>
      </c>
      <c r="K234" s="12" t="inlineStr">
        <is>
          <t>Codex — execução automatizada isolada; não responsável financeiro</t>
        </is>
      </c>
      <c r="L234" s="28" t="n">
        <v>46317.64012649305</v>
      </c>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v>4000000</v>
      </c>
      <c r="H235" s="32">
        <f>IF(AND(ISNUMBER(F235),ISNUMBER(G235)),G235-F235,"")</f>
        <v/>
      </c>
      <c r="I235" s="16">
        <f>IF(COUNTBLANK(G235)=1,"Não executado",IF(ISNUMBER(F235)&lt;&gt;ISNUMBER(G235),"Tipo incompatível",IF(IF(E235="&lt;&gt;",G235&lt;&gt;F235,G235=F235),IF(OR(J235="",K235="",NOT(ISNUMBER(L235)),L235&lt;=0),"Evidência pendente","Compatível"),"Divergente")))</f>
        <v/>
      </c>
      <c r="J235" s="12" t="inlineStr">
        <is>
          <t>etapa12-parciais/evidencias/comparacao-4.json; banco.json; registros.json; servidor-tela-acoes.log — fictício, sem aceite financeiro</t>
        </is>
      </c>
      <c r="K235" s="12" t="inlineStr">
        <is>
          <t>Codex — execução automatizada isolada; não responsável financeiro</t>
        </is>
      </c>
      <c r="L235" s="28" t="n">
        <v>46317.64012649305</v>
      </c>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v>4000000</v>
      </c>
      <c r="H236" s="32">
        <f>IF(AND(ISNUMBER(F236),ISNUMBER(G236)),G236-F236,"")</f>
        <v/>
      </c>
      <c r="I236" s="16">
        <f>IF(COUNTBLANK(G236)=1,"Não executado",IF(ISNUMBER(F236)&lt;&gt;ISNUMBER(G236),"Tipo incompatível",IF(IF(E236="&lt;&gt;",G236&lt;&gt;F236,G236=F236),IF(OR(J236="",K236="",NOT(ISNUMBER(L236)),L236&lt;=0),"Evidência pendente","Compatível"),"Divergente")))</f>
        <v/>
      </c>
      <c r="J236" s="12" t="inlineStr">
        <is>
          <t>etapa12-parciais/evidencias/comparacao-4.json; banco.json; registros.json; servidor-tela-acoes.log — fictício, sem aceite financeiro</t>
        </is>
      </c>
      <c r="K236" s="12" t="inlineStr">
        <is>
          <t>Codex — execução automatizada isolada; não responsável financeiro</t>
        </is>
      </c>
      <c r="L236" s="28" t="n">
        <v>46317.64012649305</v>
      </c>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v>9500000</v>
      </c>
      <c r="H237" s="32">
        <f>IF(AND(ISNUMBER(F237),ISNUMBER(G237)),G237-F237,"")</f>
        <v/>
      </c>
      <c r="I237" s="16">
        <f>IF(COUNTBLANK(G237)=1,"Não executado",IF(ISNUMBER(F237)&lt;&gt;ISNUMBER(G237),"Tipo incompatível",IF(IF(E237="&lt;&gt;",G237&lt;&gt;F237,G237=F237),IF(OR(J237="",K237="",NOT(ISNUMBER(L237)),L237&lt;=0),"Evidência pendente","Compatível"),"Divergente")))</f>
        <v/>
      </c>
      <c r="J237" s="12" t="inlineStr">
        <is>
          <t>etapa12-parciais/evidencias/comparacao-4.json; banco.json; registros.json; servidor-tela-acoes.log — fictício, sem aceite financeiro</t>
        </is>
      </c>
      <c r="K237" s="12" t="inlineStr">
        <is>
          <t>Codex — execução automatizada isolada; não responsável financeiro</t>
        </is>
      </c>
      <c r="L237" s="28" t="n">
        <v>46317.64012649305</v>
      </c>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v>200000</v>
      </c>
      <c r="H238" s="32">
        <f>IF(AND(ISNUMBER(F238),ISNUMBER(G238)),G238-F238,"")</f>
        <v/>
      </c>
      <c r="I238" s="16">
        <f>IF(COUNTBLANK(G238)=1,"Não executado",IF(ISNUMBER(F238)&lt;&gt;ISNUMBER(G238),"Tipo incompatível",IF(IF(E238="&lt;&gt;",G238&lt;&gt;F238,G238=F238),IF(OR(J238="",K238="",NOT(ISNUMBER(L238)),L238&lt;=0),"Evidência pendente","Compatível"),"Divergente")))</f>
        <v/>
      </c>
      <c r="J238" s="12" t="inlineStr">
        <is>
          <t>etapa12-parciais/evidencias/comparacao-4.json; banco.json; registros.json; servidor-tela-acoes.log — fictício, sem aceite financeiro</t>
        </is>
      </c>
      <c r="K238" s="12" t="inlineStr">
        <is>
          <t>Codex — execução automatizada isolada; não responsável financeiro</t>
        </is>
      </c>
      <c r="L238" s="28" t="n">
        <v>46317.64012649305</v>
      </c>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v>9700000</v>
      </c>
      <c r="H239" s="32">
        <f>IF(AND(ISNUMBER(F239),ISNUMBER(G239)),G239-F239,"")</f>
        <v/>
      </c>
      <c r="I239" s="16">
        <f>IF(COUNTBLANK(G239)=1,"Não executado",IF(ISNUMBER(F239)&lt;&gt;ISNUMBER(G239),"Tipo incompatível",IF(IF(E239="&lt;&gt;",G239&lt;&gt;F239,G239=F239),IF(OR(J239="",K239="",NOT(ISNUMBER(L239)),L239&lt;=0),"Evidência pendente","Compatível"),"Divergente")))</f>
        <v/>
      </c>
      <c r="J239" s="12" t="inlineStr">
        <is>
          <t>etapa12-parciais/evidencias/comparacao-4.json; banco.json; registros.json; servidor-tela-acoes.log — fictício, sem aceite financeiro</t>
        </is>
      </c>
      <c r="K239" s="12" t="inlineStr">
        <is>
          <t>Codex — execução automatizada isolada; não responsável financeiro</t>
        </is>
      </c>
      <c r="L239" s="28" t="n">
        <v>46317.64012649305</v>
      </c>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v>1700000</v>
      </c>
      <c r="H240" s="32">
        <f>IF(AND(ISNUMBER(F240),ISNUMBER(G240)),G240-F240,"")</f>
        <v/>
      </c>
      <c r="I240" s="16">
        <f>IF(COUNTBLANK(G240)=1,"Não executado",IF(ISNUMBER(F240)&lt;&gt;ISNUMBER(G240),"Tipo incompatível",IF(IF(E240="&lt;&gt;",G240&lt;&gt;F240,G240=F240),IF(OR(J240="",K240="",NOT(ISNUMBER(L240)),L240&lt;=0),"Evidência pendente","Compatível"),"Divergente")))</f>
        <v/>
      </c>
      <c r="J240" s="12" t="inlineStr">
        <is>
          <t>etapa12-parciais/evidencias/comparacao-4.json; banco.json; registros.json; servidor-tela-acoes.log — fictício, sem aceite financeiro</t>
        </is>
      </c>
      <c r="K240" s="12" t="inlineStr">
        <is>
          <t>Codex — execução automatizada isolada; não responsável financeiro</t>
        </is>
      </c>
      <c r="L240" s="28" t="n">
        <v>46317.64012649305</v>
      </c>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v>4000000</v>
      </c>
      <c r="H241" s="32">
        <f>IF(AND(ISNUMBER(F241),ISNUMBER(G241)),G241-F241,"")</f>
        <v/>
      </c>
      <c r="I241" s="16">
        <f>IF(COUNTBLANK(G241)=1,"Não executado",IF(ISNUMBER(F241)&lt;&gt;ISNUMBER(G241),"Tipo incompatível",IF(IF(E241="&lt;&gt;",G241&lt;&gt;F241,G241=F241),IF(OR(J241="",K241="",NOT(ISNUMBER(L241)),L241&lt;=0),"Evidência pendente","Compatível"),"Divergente")))</f>
        <v/>
      </c>
      <c r="J241" s="12" t="inlineStr">
        <is>
          <t>etapa12-parciais/evidencias/comparacao-4.json; banco.json; registros.json; servidor-tela-acoes.log — fictício, sem aceite financeiro</t>
        </is>
      </c>
      <c r="K241" s="12" t="inlineStr">
        <is>
          <t>Codex — execução automatizada isolada; não responsável financeiro</t>
        </is>
      </c>
      <c r="L241" s="28" t="n">
        <v>46317.64012649305</v>
      </c>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v>4000000</v>
      </c>
      <c r="H242" s="32">
        <f>IF(AND(ISNUMBER(F242),ISNUMBER(G242)),G242-F242,"")</f>
        <v/>
      </c>
      <c r="I242" s="16">
        <f>IF(COUNTBLANK(G242)=1,"Não executado",IF(ISNUMBER(F242)&lt;&gt;ISNUMBER(G242),"Tipo incompatível",IF(IF(E242="&lt;&gt;",G242&lt;&gt;F242,G242=F242),IF(OR(J242="",K242="",NOT(ISNUMBER(L242)),L242&lt;=0),"Evidência pendente","Compatível"),"Divergente")))</f>
        <v/>
      </c>
      <c r="J242" s="12" t="inlineStr">
        <is>
          <t>etapa12-parciais/evidencias/comparacao-4.json; banco.json; registros.json; servidor-tela-acoes.log — fictício, sem aceite financeiro</t>
        </is>
      </c>
      <c r="K242" s="12" t="inlineStr">
        <is>
          <t>Codex — execução automatizada isolada; não responsável financeiro</t>
        </is>
      </c>
      <c r="L242" s="28" t="n">
        <v>46317.64012649305</v>
      </c>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v>9700000</v>
      </c>
      <c r="H243" s="32">
        <f>IF(AND(ISNUMBER(F243),ISNUMBER(G243)),G243-F243,"")</f>
        <v/>
      </c>
      <c r="I243" s="16">
        <f>IF(COUNTBLANK(G243)=1,"Não executado",IF(ISNUMBER(F243)&lt;&gt;ISNUMBER(G243),"Tipo incompatível",IF(IF(E243="&lt;&gt;",G243&lt;&gt;F243,G243=F243),IF(OR(J243="",K243="",NOT(ISNUMBER(L243)),L243&lt;=0),"Evidência pendente","Compatível"),"Divergente")))</f>
        <v/>
      </c>
      <c r="J243" s="12" t="inlineStr">
        <is>
          <t>etapa12-parciais/evidencias/comparacao-4.json; banco.json; registros.json; servidor-tela-acoes.log — fictício, sem aceite financeiro</t>
        </is>
      </c>
      <c r="K243" s="12" t="inlineStr">
        <is>
          <t>Codex — execução automatizada isolada; não responsável financeiro</t>
        </is>
      </c>
      <c r="L243" s="28" t="n">
        <v>46317.64012649305</v>
      </c>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v>0</v>
      </c>
      <c r="H244" s="32">
        <f>IF(AND(ISNUMBER(F244),ISNUMBER(G244)),G244-F244,"")</f>
        <v/>
      </c>
      <c r="I244" s="16">
        <f>IF(COUNTBLANK(G244)=1,"Não executado",IF(ISNUMBER(F244)&lt;&gt;ISNUMBER(G244),"Tipo incompatível",IF(IF(E244="&lt;&gt;",G244&lt;&gt;F244,G244=F244),IF(OR(J244="",K244="",NOT(ISNUMBER(L244)),L244&lt;=0),"Evidência pendente","Compatível"),"Divergente")))</f>
        <v/>
      </c>
      <c r="J244" s="12" t="inlineStr">
        <is>
          <t>etapa12-parciais/evidencias/comparacao-4.json; banco.json; registros.json; servidor-tela-acoes.log — fictício, sem aceite financeiro</t>
        </is>
      </c>
      <c r="K244" s="12" t="inlineStr">
        <is>
          <t>Codex — execução automatizada isolada; não responsável financeiro</t>
        </is>
      </c>
      <c r="L244" s="28" t="n">
        <v>46317.64012649305</v>
      </c>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v>9700000</v>
      </c>
      <c r="H245" s="32">
        <f>IF(AND(ISNUMBER(F245),ISNUMBER(G245)),G245-F245,"")</f>
        <v/>
      </c>
      <c r="I245" s="16">
        <f>IF(COUNTBLANK(G245)=1,"Não executado",IF(ISNUMBER(F245)&lt;&gt;ISNUMBER(G245),"Tipo incompatível",IF(IF(E245="&lt;&gt;",G245&lt;&gt;F245,G245=F245),IF(OR(J245="",K245="",NOT(ISNUMBER(L245)),L245&lt;=0),"Evidência pendente","Compatível"),"Divergente")))</f>
        <v/>
      </c>
      <c r="J245" s="12" t="inlineStr">
        <is>
          <t>etapa12-parciais/evidencias/comparacao-4.json; banco.json; registros.json; servidor-tela-acoes.log — fictício, sem aceite financeiro</t>
        </is>
      </c>
      <c r="K245" s="12" t="inlineStr">
        <is>
          <t>Codex — execução automatizada isolada; não responsável financeiro</t>
        </is>
      </c>
      <c r="L245" s="28" t="n">
        <v>46317.64012649305</v>
      </c>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v>10000000</v>
      </c>
      <c r="H344" s="29">
        <f>IF(AND(ISNUMBER(F344),ISNUMBER(G344)),G344-F344,"")</f>
        <v/>
      </c>
      <c r="I344" s="20">
        <f>IF(COUNTBLANK(G344)=1,"Não executado",IF(ISNUMBER(F344)&lt;&gt;ISNUMBER(G344),"Tipo incompatível",IF(IF(E344="&lt;&gt;",G344&lt;&gt;F344,G344=F344),IF(OR(J344="",K344="",NOT(ISNUMBER(L344)),L344&lt;=0),"Evidência pendente","Compatível"),"Divergente")))</f>
        <v/>
      </c>
      <c r="J344" s="23" t="inlineStr">
        <is>
          <t>etapa12-parciais/evidencias/comparacao-4.json; banco.json; registros.json; servidor-tela-acoes.log — fictício, sem aceite financeiro</t>
        </is>
      </c>
      <c r="K344" s="23" t="inlineStr">
        <is>
          <t>Codex — execução automatizada isolada; não responsável financeiro</t>
        </is>
      </c>
      <c r="L344" s="31" t="n">
        <v>46317.64012649305</v>
      </c>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v>4000000</v>
      </c>
      <c r="H345" s="32">
        <f>IF(AND(ISNUMBER(F345),ISNUMBER(G345)),G345-F345,"")</f>
        <v/>
      </c>
      <c r="I345" s="16">
        <f>IF(COUNTBLANK(G345)=1,"Não executado",IF(ISNUMBER(F345)&lt;&gt;ISNUMBER(G345),"Tipo incompatível",IF(IF(E345="&lt;&gt;",G345&lt;&gt;F345,G345=F345),IF(OR(J345="",K345="",NOT(ISNUMBER(L345)),L345&lt;=0),"Evidência pendente","Compatível"),"Divergente")))</f>
        <v/>
      </c>
      <c r="J345" s="12" t="inlineStr">
        <is>
          <t>etapa12-parciais/evidencias/comparacao-4.json; banco.json; registros.json; servidor-tela-acoes.log — fictício, sem aceite financeiro</t>
        </is>
      </c>
      <c r="K345" s="12" t="inlineStr">
        <is>
          <t>Codex — execução automatizada isolada; não responsável financeiro</t>
        </is>
      </c>
      <c r="L345" s="28" t="n">
        <v>46317.64012649305</v>
      </c>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v>-3000000</v>
      </c>
      <c r="H346" s="32">
        <f>IF(AND(ISNUMBER(F346),ISNUMBER(G346)),G346-F346,"")</f>
        <v/>
      </c>
      <c r="I346" s="16">
        <f>IF(COUNTBLANK(G346)=1,"Não executado",IF(ISNUMBER(F346)&lt;&gt;ISNUMBER(G346),"Tipo incompatível",IF(IF(E346="&lt;&gt;",G346&lt;&gt;F346,G346=F346),IF(OR(J346="",K346="",NOT(ISNUMBER(L346)),L346&lt;=0),"Evidência pendente","Compatível"),"Divergente")))</f>
        <v/>
      </c>
      <c r="J346" s="12" t="inlineStr">
        <is>
          <t>etapa12-parciais/evidencias/comparacao-4.json; banco.json; registros.json; servidor-tela-acoes.log — fictício, sem aceite financeiro</t>
        </is>
      </c>
      <c r="K346" s="12" t="inlineStr">
        <is>
          <t>Codex — execução automatizada isolada; não responsável financeiro</t>
        </is>
      </c>
      <c r="L346" s="28" t="n">
        <v>46317.64012649305</v>
      </c>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v>5000000</v>
      </c>
      <c r="H347" s="32">
        <f>IF(AND(ISNUMBER(F347),ISNUMBER(G347)),G347-F347,"")</f>
        <v/>
      </c>
      <c r="I347" s="16">
        <f>IF(COUNTBLANK(G347)=1,"Não executado",IF(ISNUMBER(F347)&lt;&gt;ISNUMBER(G347),"Tipo incompatível",IF(IF(E347="&lt;&gt;",G347&lt;&gt;F347,G347=F347),IF(OR(J347="",K347="",NOT(ISNUMBER(L347)),L347&lt;=0),"Evidência pendente","Compatível"),"Divergente")))</f>
        <v/>
      </c>
      <c r="J347" s="12" t="inlineStr">
        <is>
          <t>etapa12-parciais/evidencias/comparacao-4.json; banco.json; registros.json; servidor-tela-acoes.log — fictício, sem aceite financeiro</t>
        </is>
      </c>
      <c r="K347" s="12" t="inlineStr">
        <is>
          <t>Codex — execução automatizada isolada; não responsável financeiro</t>
        </is>
      </c>
      <c r="L347" s="28" t="n">
        <v>46317.64012649305</v>
      </c>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v>0</v>
      </c>
      <c r="H348" s="32">
        <f>IF(AND(ISNUMBER(F348),ISNUMBER(G348)),G348-F348,"")</f>
        <v/>
      </c>
      <c r="I348" s="16">
        <f>IF(COUNTBLANK(G348)=1,"Não executado",IF(ISNUMBER(F348)&lt;&gt;ISNUMBER(G348),"Tipo incompatível",IF(IF(E348="&lt;&gt;",G348&lt;&gt;F348,G348=F348),IF(OR(J348="",K348="",NOT(ISNUMBER(L348)),L348&lt;=0),"Evidência pendente","Compatível"),"Divergente")))</f>
        <v/>
      </c>
      <c r="J348" s="12" t="inlineStr">
        <is>
          <t>etapa12-parciais/evidencias/comparacao-4.json; banco.json; registros.json; servidor-tela-acoes.log — fictício, sem aceite financeiro</t>
        </is>
      </c>
      <c r="K348" s="12" t="inlineStr">
        <is>
          <t>Codex — execução automatizada isolada; não responsável financeiro</t>
        </is>
      </c>
      <c r="L348" s="28" t="n">
        <v>46317.64012649305</v>
      </c>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v>0</v>
      </c>
      <c r="H349" s="32">
        <f>IF(AND(ISNUMBER(F349),ISNUMBER(G349)),G349-F349,"")</f>
        <v/>
      </c>
      <c r="I349" s="16">
        <f>IF(COUNTBLANK(G349)=1,"Não executado",IF(ISNUMBER(F349)&lt;&gt;ISNUMBER(G349),"Tipo incompatível",IF(IF(E349="&lt;&gt;",G349&lt;&gt;F349,G349=F349),IF(OR(J349="",K349="",NOT(ISNUMBER(L349)),L349&lt;=0),"Evidência pendente","Compatível"),"Divergente")))</f>
        <v/>
      </c>
      <c r="J349" s="12" t="inlineStr">
        <is>
          <t>etapa12-parciais/evidencias/comparacao-4.json; banco.json; registros.json; servidor-tela-acoes.log — fictício, sem aceite financeiro</t>
        </is>
      </c>
      <c r="K349" s="12" t="inlineStr">
        <is>
          <t>Codex — execução automatizada isolada; não responsável financeiro</t>
        </is>
      </c>
      <c r="L349" s="28" t="n">
        <v>46317.64012649305</v>
      </c>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11" max="11"/>
    <col width="65" customWidth="1" min="12" max="12"/>
  </cols>
  <sheetData>
    <row r="1">
      <c r="A1" t="inlineStr">
        <is>
          <t>Caso</t>
        </is>
      </c>
      <c r="B1" t="inlineStr">
        <is>
          <t>Estado anterior</t>
        </is>
      </c>
      <c r="C1" t="inlineStr">
        <is>
          <t>Estado atual</t>
        </is>
      </c>
      <c r="D1" t="inlineStr">
        <is>
          <t>Saída bruta</t>
        </is>
      </c>
      <c r="E1" t="inlineStr">
        <is>
          <t>Restituído</t>
        </is>
      </c>
      <c r="F1" t="inlineStr">
        <is>
          <t>Líquido</t>
        </is>
      </c>
      <c r="G1" t="inlineStr">
        <is>
          <t>Direito aberto</t>
        </is>
      </c>
      <c r="H1" t="inlineStr">
        <is>
          <t>Custo</t>
        </is>
      </c>
      <c r="I1" t="inlineStr">
        <is>
          <t>Obrigação contratual</t>
        </is>
      </c>
      <c r="J1" t="inlineStr">
        <is>
          <t>AP reaberto</t>
        </is>
      </c>
      <c r="K1" t="inlineStr">
        <is>
          <t>Evidência</t>
        </is>
      </c>
      <c r="L1" t="inlineStr">
        <is>
          <t>Aceite financeiro</t>
        </is>
      </c>
    </row>
    <row r="2">
      <c r="A2" t="inlineStr">
        <is>
          <t>CT10</t>
        </is>
      </c>
      <c r="B2" t="inlineStr">
        <is>
          <t>Reprovado — restituição não representada</t>
        </is>
      </c>
      <c r="C2" t="inlineStr">
        <is>
          <t>Conforme no cenário isolado — pendente aceite</t>
        </is>
      </c>
      <c r="D2" t="n">
        <v>10000</v>
      </c>
      <c r="E2" t="n">
        <v>6000</v>
      </c>
      <c r="F2" t="n">
        <v>4000</v>
      </c>
      <c r="G2" t="n">
        <v>4000</v>
      </c>
      <c r="H2" t="n">
        <v>0</v>
      </c>
      <c r="I2" t="n">
        <v>0</v>
      </c>
      <c r="J2" t="n">
        <v>0</v>
      </c>
      <c r="K2" t="inlineStr">
        <is>
          <t>etapa10-ct10/evidencias/comparacao-ct10.json; banco.json</t>
        </is>
      </c>
      <c r="L2" t="inlineStr">
        <is>
          <t>Pendente — não preenchido pelo executor</t>
        </is>
      </c>
    </row>
  </sheetData>
  <autoFilter ref="A1:L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s>
  <sheetData>
    <row r="1">
      <c r="A1" s="36" t="inlineStr">
        <is>
          <t>Critério</t>
        </is>
      </c>
      <c r="B1" s="36" t="inlineStr">
        <is>
          <t>Resultado</t>
        </is>
      </c>
      <c r="C1" s="36" t="inlineStr">
        <is>
          <t>Evidência</t>
        </is>
      </c>
      <c r="D1" s="36" t="inlineStr">
        <is>
          <t>Pendência / condição de aceite</t>
        </is>
      </c>
    </row>
    <row r="2">
      <c r="A2" t="inlineStr">
        <is>
          <t>Confronto de registros</t>
        </is>
      </c>
      <c r="B2" t="inlineStr">
        <is>
          <t>3261/3261 iguais em ID/parcela/valor/vencimento/pagamento informado</t>
        </is>
      </c>
      <c r="C2" t="inlineStr">
        <is>
          <t>etapa11-reconciliacao/evidencias/registros.json</t>
        </is>
      </c>
      <c r="D2" t="inlineStr">
        <is>
          <t>Aceite técnico nominal não preenchido</t>
        </is>
      </c>
    </row>
    <row r="3">
      <c r="A3" t="inlineStr">
        <is>
          <t>Documentos</t>
        </is>
      </c>
      <c r="B3" t="inlineStr">
        <is>
          <t>2537 referências iguais; 724 substitutos KOPER onde F007 mostra -</t>
        </is>
      </c>
      <c r="C3" t="inlineStr">
        <is>
          <t>etapa11-reconciliacao/evidencias/Reconciliacao_F011_F007.xlsx</t>
        </is>
      </c>
      <c r="D3" t="inlineStr">
        <is>
          <t>Substituto não comprova NF/contrato/vínculo jurídico</t>
        </is>
      </c>
    </row>
    <row r="4">
      <c r="A4" t="inlineStr">
        <is>
          <t>Ponte de valores exibidos</t>
        </is>
      </c>
      <c r="B4" t="inlineStr">
        <is>
          <t>F011=linhas F007=13.710.826,32; cabeçalho F007=13.561.236,99</t>
        </is>
      </c>
      <c r="C4" t="inlineStr">
        <is>
          <t>etapa11-reconciliacao/evidencias/reconciliacao.json</t>
        </is>
      </c>
      <c r="D4" t="inlineStr">
        <is>
          <t>Residual financeiro149.589,33 sem causa comprovada</t>
        </is>
      </c>
    </row>
    <row r="5">
      <c r="A5" t="inlineStr">
        <is>
          <t>Localização do residual</t>
        </is>
      </c>
      <c r="B5" t="inlineStr">
        <is>
          <t>13.687.213,70 nas3255 linhas datadas menos13.537.624,37 no resumo Pago</t>
        </is>
      </c>
      <c r="C5" t="inlineStr">
        <is>
          <t>etapa11-reconciliacao/README.md</t>
        </is>
      </c>
      <c r="D5" t="inlineStr">
        <is>
          <t>Não alocar diferença a títulos por suposição</t>
        </is>
      </c>
    </row>
    <row r="6">
      <c r="A6" t="inlineStr">
        <is>
          <t>Causa raiz financeira</t>
        </is>
      </c>
      <c r="B6" t="inlineStr">
        <is>
          <t>Não verificável com os artefatos disponíveis</t>
        </is>
      </c>
      <c r="C6" t="inlineStr">
        <is>
          <t>etapa11-reconciliacao/README.md — fontes faltantes</t>
        </is>
      </c>
      <c r="D6" t="inlineStr">
        <is>
          <t>Exigir snapshot bruto/consulta/componentes/eventos no mesmoT/K</t>
        </is>
      </c>
    </row>
    <row r="7">
      <c r="A7" t="inlineStr">
        <is>
          <t>Testes offline</t>
        </is>
      </c>
      <c r="B7" t="inlineStr">
        <is>
          <t>12 diagnóstico +28 financeiros +81 regressão +142 suíte geral aprovados</t>
        </is>
      </c>
      <c r="C7" t="inlineStr">
        <is>
          <t>etapa11-reconciliacao/evidencias/*log</t>
        </is>
      </c>
      <c r="D7" t="inlineStr">
        <is>
          <t>Não representa nova execução dos controles25/24 nem homologação dos30</t>
        </is>
      </c>
    </row>
    <row r="8">
      <c r="A8" t="inlineStr">
        <is>
          <t>Estado T11/T44</t>
        </is>
      </c>
      <c r="B8" t="inlineStr">
        <is>
          <t>Mantidos Em validação / Em andamento</t>
        </is>
      </c>
      <c r="C8" t="inlineStr">
        <is>
          <t>Acompanhamento e verificação do quadro</t>
        </is>
      </c>
      <c r="D8" t="inlineStr">
        <is>
          <t>Dependências e aceites anteriores preservados</t>
        </is>
      </c>
    </row>
    <row r="9">
      <c r="A9" t="inlineStr">
        <is>
          <t>Correção</t>
        </is>
      </c>
      <c r="B9" t="inlineStr">
        <is>
          <t>Nenhuma implementada</t>
        </is>
      </c>
      <c r="C9" t="inlineStr">
        <is>
          <t>git diff e manifesto-entrega.json</t>
        </is>
      </c>
      <c r="D9" t="inlineStr">
        <is>
          <t>Causa e aprovação necessárias antes de implementar</t>
        </is>
      </c>
    </row>
    <row r="10">
      <c r="A10" t="inlineStr">
        <is>
          <t>Aceite financeiro</t>
        </is>
      </c>
      <c r="B10" t="inlineStr">
        <is>
          <t>Pendente — não preenchido pelo executor</t>
        </is>
      </c>
      <c r="C10" t="inlineStr">
        <is>
          <t>Todos os campos anteriores preservados</t>
        </is>
      </c>
      <c r="D10" t="inlineStr">
        <is>
          <t>Responsável financeiro</t>
        </is>
      </c>
    </row>
    <row r="11">
      <c r="A11" t="inlineStr">
        <is>
          <t>Produção/Koper</t>
        </is>
      </c>
      <c r="B11" t="inlineStr">
        <is>
          <t>Sem conexão financeira remota ou escrita</t>
        </is>
      </c>
      <c r="C11" t="inlineStr">
        <is>
          <t>manifesto-entrega.json</t>
        </is>
      </c>
      <c r="D11" t="inlineStr">
        <is>
          <t>T45 permanece Bloqueada</t>
        </is>
      </c>
    </row>
  </sheetData>
  <autoFilter ref="A1:D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65" customWidth="1" min="5" max="5"/>
    <col width="65" customWidth="1" min="6" max="6"/>
    <col width="65" customWidth="1" min="7" max="7"/>
    <col width="65" customWidth="1" min="9" max="9"/>
    <col width="65" customWidth="1" min="10" max="10"/>
    <col width="65" customWidth="1" min="11" max="11"/>
  </cols>
  <sheetData>
    <row r="1">
      <c r="A1" t="inlineStr">
        <is>
          <t>Caso</t>
        </is>
      </c>
      <c r="B1" t="inlineStr">
        <is>
          <t>Prioridade</t>
        </is>
      </c>
      <c r="C1" t="inlineStr">
        <is>
          <t>Classes</t>
        </is>
      </c>
      <c r="D1" t="inlineStr">
        <is>
          <t>Selecionado</t>
        </is>
      </c>
      <c r="E1" t="inlineStr">
        <is>
          <t>Estado técnico</t>
        </is>
      </c>
      <c r="F1" t="inlineStr">
        <is>
          <t>Causa demonstrada</t>
        </is>
      </c>
      <c r="G1" t="inlineStr">
        <is>
          <t>Dependências</t>
        </is>
      </c>
      <c r="H1" t="inlineStr">
        <is>
          <t>Esforço técnico estimado</t>
        </is>
      </c>
      <c r="I1" t="inlineStr">
        <is>
          <t>Critério objetivo</t>
        </is>
      </c>
      <c r="J1" t="inlineStr">
        <is>
          <t>Evidência</t>
        </is>
      </c>
      <c r="K1" t="inlineStr">
        <is>
          <t>Aceite financeiro</t>
        </is>
      </c>
    </row>
    <row r="2">
      <c r="A2" t="inlineStr">
        <is>
          <t>CT24</t>
        </is>
      </c>
      <c r="B2" t="n">
        <v>1</v>
      </c>
      <c r="C2" t="inlineStr">
        <is>
          <t>B/C/D</t>
        </is>
      </c>
      <c r="D2" t="inlineStr">
        <is>
          <t>Não</t>
        </is>
      </c>
      <c r="E2" t="inlineStr">
        <is>
          <t>Parcial — pendência técnica mantida</t>
        </is>
      </c>
      <c r="F2" t="inlineStr">
        <is>
          <t>Controles SQL existem, mas não há execução integral dos três títulos UA/UB/UR/UG em Auth, storage, cache, jobs, IA e exportação.</t>
        </is>
      </c>
      <c r="G2" t="inlineStr">
        <is>
          <t>T05/T42; Auth isolado e pipeline de todos os canais. Matriz nominal vigente só é necessária à implantação real.</t>
        </is>
      </c>
      <c r="H2" t="inlineStr">
        <is>
          <t>3–5 dias</t>
        </is>
      </c>
      <c r="I2" t="inlineStr">
        <is>
          <t>1.000/9.000 porUA/UB; UG1.000/3.000/4.000/9.000 nos perímetros; zero linhas estrangeiras, mutações indevidas e vazamentos, inclusive Auth/storage.</t>
        </is>
      </c>
      <c r="J2" t="inlineStr">
        <is>
          <t>etapa12-parciais/MATRIZ-16.md; evidencias/matriz-16.json</t>
        </is>
      </c>
      <c r="K2" t="inlineStr">
        <is>
          <t>Pendente — não registrado pelo executor</t>
        </is>
      </c>
    </row>
    <row r="3">
      <c r="A3" t="inlineStr">
        <is>
          <t>CT18</t>
        </is>
      </c>
      <c r="B3" t="n">
        <v>2</v>
      </c>
      <c r="C3" t="inlineStr">
        <is>
          <t>A/B</t>
        </is>
      </c>
      <c r="D3" t="inlineStr">
        <is>
          <t>Sim</t>
        </is>
      </c>
      <c r="E3" t="inlineStr">
        <is>
          <t>Cadeia fictícia persistida e comparação independente conforme; aceite pendente</t>
        </is>
      </c>
      <c r="F3" t="inlineStr">
        <is>
          <t>Sem vínculo persistido AF→encargo, futureCashRows mantém ambos; R17.000+C40.000+P40.000+AF2.000=99.000 contra97.000 esperado. RPC de versão anterior não admitia acréscimo documentado de AF.</t>
        </is>
      </c>
      <c r="G3" t="inlineStr">
        <is>
          <t>T26/T30; reutiliza ledger, cenários imutáveis e cobertura já existentes; nenhuma decisão financeira adicional para a fixture.</t>
        </is>
      </c>
      <c r="H3" t="inlineStr">
        <is>
          <t>1–2 dias</t>
        </is>
      </c>
      <c r="I3" t="inlineStr">
        <is>
          <t>Mesma cadeia A–F persistida; Q100.000→95.000→97.000; AF2.000→0; uma constituição sob replay/concorrência, versões preservadas e isolamento.</t>
        </is>
      </c>
      <c r="J3" t="inlineStr">
        <is>
          <t>etapa12-parciais/MATRIZ-16.md; evidencias/matriz-16.json</t>
        </is>
      </c>
      <c r="K3" t="inlineStr">
        <is>
          <t>Pendente — não registrado pelo executor</t>
        </is>
      </c>
    </row>
    <row r="4">
      <c r="A4" t="inlineStr">
        <is>
          <t>CT21</t>
        </is>
      </c>
      <c r="B4" t="n">
        <v>3</v>
      </c>
      <c r="C4" t="inlineStr">
        <is>
          <t>B/D/E</t>
        </is>
      </c>
      <c r="D4" t="inlineStr">
        <is>
          <t>Não</t>
        </is>
      </c>
      <c r="E4" t="inlineStr">
        <is>
          <t>Parcial — pendência técnica mantida</t>
        </is>
      </c>
      <c r="F4" t="inlineStr">
        <is>
          <t>Função pura conserva null, mas a composição completa dashboard/exportação/IA e eventual exceção condicionada não foi demonstrada. Universo desconhecido é limitação explícita, não erro a zerar.</t>
        </is>
      </c>
      <c r="G4" t="inlineStr">
        <is>
          <t>T38/T40/T41 e mapa R/C/P. D12 precisa definir exceções reais; a fixture já exige null, sem decisão nova para este comportamento.</t>
        </is>
      </c>
      <c r="H4" t="inlineStr">
        <is>
          <t>2–3 dias</t>
        </is>
      </c>
      <c r="I4" t="inlineStr">
        <is>
          <t>MesmoT/K: R140.000, contrato840.000 separado; Q/EAC/desvio/cobertura null e status incompleto nos três canais; exceções só com decisão expressa.</t>
        </is>
      </c>
      <c r="J4" t="inlineStr">
        <is>
          <t>etapa12-parciais/MATRIZ-16.md; evidencias/matriz-16.json</t>
        </is>
      </c>
      <c r="K4" t="inlineStr">
        <is>
          <t>Pendente — não registrado pelo executor</t>
        </is>
      </c>
    </row>
    <row r="5">
      <c r="A5" t="inlineStr">
        <is>
          <t>CT29</t>
        </is>
      </c>
      <c r="B5" t="n">
        <v>4</v>
      </c>
      <c r="C5" t="inlineStr">
        <is>
          <t>A/B</t>
        </is>
      </c>
      <c r="D5" t="inlineStr">
        <is>
          <t>Sim</t>
        </is>
      </c>
      <c r="E5" t="inlineStr">
        <is>
          <t>Corrente conforme; original anterior ao vínculo permanece parcial</t>
        </is>
      </c>
      <c r="F5" t="inlineStr">
        <is>
          <t>Agenda persistida/tela/IA ausentes da prova anterior. Nesta execução, RLS oculta registros, mas carregador aceitava entidade negada e respondia visão vazia; IA não aceitava o mesmo filtro de entidade da tela.</t>
        </is>
      </c>
      <c r="G5" t="inlineStr">
        <is>
          <t>T39; abertura/restrição/agenda fictícias explícitas da fixture. Contrato/limite reais só para homologação real.</t>
        </is>
      </c>
      <c r="H5" t="inlineStr">
        <is>
          <t>0,5–1 dia</t>
        </is>
      </c>
      <c r="I5" t="inlineStr">
        <is>
          <t>Disponível100.000; finais40.000/−30.000; necessidade50.000; amortização20.000 uma vez e limite70.000 fora do disponível; mesmo perímetro no carregador/tela/IA.</t>
        </is>
      </c>
      <c r="J5" t="inlineStr">
        <is>
          <t>etapa12-parciais/MATRIZ-16.md; evidencias/matriz-16.json</t>
        </is>
      </c>
      <c r="K5" t="inlineStr">
        <is>
          <t>Pendente — não registrado pelo executor</t>
        </is>
      </c>
    </row>
    <row r="6">
      <c r="A6" t="inlineStr">
        <is>
          <t>CT02</t>
        </is>
      </c>
      <c r="B6" t="n">
        <v>5</v>
      </c>
      <c r="C6" t="inlineStr">
        <is>
          <t>A/B</t>
        </is>
      </c>
      <c r="D6" t="inlineStr">
        <is>
          <t>Sim</t>
        </is>
      </c>
      <c r="E6" t="inlineStr">
        <is>
          <t>Cadeia fictícia persistida e comparação independente conforme; aceite pendente</t>
        </is>
      </c>
      <c r="F6" t="inlineStr">
        <is>
          <t>Evidências anteriores separavam reimportação e corte puro. Baseline adicional demonstra fallback para versão atual antes da primeira versão conhecida e comparação lexical incorreta de timestamps equivalentes.</t>
        </is>
      </c>
      <c r="G6" t="inlineStr">
        <is>
          <t>T07/T08/T10; coletor/importador/revisões existentes e relógio de teste controlado; suporte documental do acréscimo já é premissa da fixture.</t>
        </is>
      </c>
      <c r="H6" t="inlineStr">
        <is>
          <t>0,5–1 dia</t>
        </is>
      </c>
      <c r="I6" t="inlineStr">
        <is>
          <t>Um título10.000→12.000; ponte2.000; T21/K20 continua10.000; replay não cria versão; SQL e aplicação concordam nos três cortes e antes da criação.</t>
        </is>
      </c>
      <c r="J6" t="inlineStr">
        <is>
          <t>etapa12-parciais/MATRIZ-16.md; evidencias/matriz-16.json</t>
        </is>
      </c>
      <c r="K6" t="inlineStr">
        <is>
          <t>Pendente — não registrado pelo executor</t>
        </is>
      </c>
    </row>
    <row r="7">
      <c r="A7" t="inlineStr">
        <is>
          <t>CT03</t>
        </is>
      </c>
      <c r="B7" t="n">
        <v>6</v>
      </c>
      <c r="C7" t="inlineStr">
        <is>
          <t>B</t>
        </is>
      </c>
      <c r="D7" t="inlineStr">
        <is>
          <t>Sim</t>
        </is>
      </c>
      <c r="E7" t="inlineStr">
        <is>
          <t>Cadeia fictícia persistida e comparação independente conforme; aceite pendente</t>
        </is>
      </c>
      <c r="F7" t="inlineStr">
        <is>
          <t>Banco/ledger já comprovavam parcial; faltava fato econômico persistido e leitura de I01 antes/depois. Nenhum defeito operacional de custo foi presumido.</t>
        </is>
      </c>
      <c r="G7" t="inlineStr">
        <is>
          <t>T18/T19; medição/itens aprovados nativos, carregador de custo e banco já existentes.</t>
        </is>
      </c>
      <c r="H7" t="inlineStr">
        <is>
          <t>0,5–1 dia</t>
        </is>
      </c>
      <c r="I7" t="inlineStr">
        <is>
          <t>Aberto7.000→5.000; duas saídas total5.000; conciliar/reimportar cria0 caixa e0 custo adicional, medição/competência anteriores preservadas.</t>
        </is>
      </c>
      <c r="J7" t="inlineStr">
        <is>
          <t>etapa12-parciais/MATRIZ-16.md; evidencias/matriz-16.json</t>
        </is>
      </c>
      <c r="K7" t="inlineStr">
        <is>
          <t>Pendente — não registrado pelo executor</t>
        </is>
      </c>
    </row>
    <row r="8">
      <c r="A8" t="inlineStr">
        <is>
          <t>CT06</t>
        </is>
      </c>
      <c r="B8" t="n">
        <v>7</v>
      </c>
      <c r="C8" t="inlineStr">
        <is>
          <t>B/C/D</t>
        </is>
      </c>
      <c r="D8" t="inlineStr">
        <is>
          <t>Não</t>
        </is>
      </c>
      <c r="E8" t="inlineStr">
        <is>
          <t>Parcial — pendência técnica mantida</t>
        </is>
      </c>
      <c r="F8" t="inlineStr">
        <is>
          <t>Três filhos manuais conservam100.000, mas pai econômico, geração nativa, credores e condição de liberação não foram encadeados. Não há reprodução de erro nativo que justifique reescrevê-lo.</t>
        </is>
      </c>
      <c r="G8" t="inlineStr">
        <is>
          <t>T16/T21/T26; testar approve_execution_contract_measurement/notas nativas. D08 real (cláusulas, credores, alíquotas) permanece pendente; percentuais da fixture são apenas didáticos.</t>
        </is>
      </c>
      <c r="H8" t="inlineStr">
        <is>
          <t>2–4 dias</t>
        </is>
      </c>
      <c r="I8" t="inlineStr">
        <is>
          <t>R100.000→15.000→10.000→0; H90.000→100.000; custo100.000; C0/Q100.000 inicialmente; sem somar pai e filhos nem liberar retenção sem condição.</t>
        </is>
      </c>
      <c r="J8" t="inlineStr">
        <is>
          <t>etapa12-parciais/MATRIZ-16.md; evidencias/matriz-16.json</t>
        </is>
      </c>
      <c r="K8" t="inlineStr">
        <is>
          <t>Pendente — não registrado pelo executor</t>
        </is>
      </c>
    </row>
    <row r="9">
      <c r="A9" t="inlineStr">
        <is>
          <t>CT28</t>
        </is>
      </c>
      <c r="B9" t="n">
        <v>8</v>
      </c>
      <c r="C9" t="inlineStr">
        <is>
          <t>B/C</t>
        </is>
      </c>
      <c r="D9" t="inlineStr">
        <is>
          <t>Não</t>
        </is>
      </c>
      <c r="E9" t="inlineStr">
        <is>
          <t>Parcial — pendência técnica mantida</t>
        </is>
      </c>
      <c r="F9" t="inlineStr">
        <is>
          <t>Adiantamento, retenções e cobertura existem isoladamente; o conjunto do mesmo contrato/escopo não foi executado.</t>
        </is>
      </c>
      <c r="G9" t="inlineStr">
        <is>
          <t>CT05/CT06; T20/T21/T26/T28/T30. Documentos reais apenas para adoção operacional, não para a fixture.</t>
        </is>
      </c>
      <c r="H9" t="inlineStr">
        <is>
          <t>2–3 dias apósCT05/06</t>
        </is>
      </c>
      <c r="I9" t="inlineStr">
        <is>
          <t>R140.000; H220.000; crédito60.000; C840.000; P200.000; Q1.180.000; ETC1.100.000; EAC1.400.000 em cadeia única.</t>
        </is>
      </c>
      <c r="J9" t="inlineStr">
        <is>
          <t>etapa12-parciais/MATRIZ-16.md; evidencias/matriz-16.json</t>
        </is>
      </c>
      <c r="K9" t="inlineStr">
        <is>
          <t>Pendente — não registrado pelo executor</t>
        </is>
      </c>
    </row>
    <row r="10">
      <c r="A10" t="inlineStr">
        <is>
          <t>CT09</t>
        </is>
      </c>
      <c r="B10" t="n">
        <v>9</v>
      </c>
      <c r="C10" t="inlineStr">
        <is>
          <t>B/C</t>
        </is>
      </c>
      <c r="D10" t="inlineStr">
        <is>
          <t>Não</t>
        </is>
      </c>
      <c r="E10" t="inlineStr">
        <is>
          <t>Parcial — pendência técnica mantida</t>
        </is>
      </c>
      <c r="F10" t="inlineStr">
        <is>
          <t>Vínculo de cobertura puro passa; não há execução persistida MED01→NF01→NF02 que conserve a obrigação e um único custo.</t>
        </is>
      </c>
      <c r="G10" t="inlineStr">
        <is>
          <t>T16/T22/T24; obrigação provisória e substituição documental nativas, sem extinguir escopo por cancelar NF.</t>
        </is>
      </c>
      <c r="H10" t="inlineStr">
        <is>
          <t>2–4 dias</t>
        </is>
      </c>
      <c r="I10" t="inlineStr">
        <is>
          <t>Antes: I03=0/I04=8.000; depois I03=8.000/I04=0; R8.000; custo8.000; caixa0; uma representação financeira ativa e histórico completo.</t>
        </is>
      </c>
      <c r="J10" t="inlineStr">
        <is>
          <t>etapa12-parciais/MATRIZ-16.md; evidencias/matriz-16.json</t>
        </is>
      </c>
      <c r="K10" t="inlineStr">
        <is>
          <t>Pendente — não registrado pelo executor</t>
        </is>
      </c>
    </row>
    <row r="11">
      <c r="A11" t="inlineStr">
        <is>
          <t>CT22</t>
        </is>
      </c>
      <c r="B11" t="n">
        <v>10</v>
      </c>
      <c r="C11" t="inlineStr">
        <is>
          <t>B/C/D</t>
        </is>
      </c>
      <c r="D11" t="inlineStr">
        <is>
          <t>Não</t>
        </is>
      </c>
      <c r="E11" t="inlineStr">
        <is>
          <t>Parcial — pendência técnica mantida</t>
        </is>
      </c>
      <c r="F11" t="inlineStr">
        <is>
          <t>Crédito recebido20.000/aplicação passam. Falta cobertura persistida automática contrato/parcela/antecipação para I18 e prova de que recebimento não reconhece receita.</t>
        </is>
      </c>
      <c r="G11" t="inlineStr">
        <is>
          <t>T20/T33/T34; mapa contratualAR. D09 real (desempenho/distratos/permutas) não altera o exemplo aprovado sem desempenho.</t>
        </is>
      </c>
      <c r="H11" t="inlineStr">
        <is>
          <t>2–3 dias</t>
        </is>
      </c>
      <c r="I11" t="inlineStr">
        <is>
          <t>Caixa20.000; crédito20.000→0; AR20.000; futuro não titulado60.000; I18=80.000; caixa novo0; receita automática0.</t>
        </is>
      </c>
      <c r="J11" t="inlineStr">
        <is>
          <t>etapa12-parciais/MATRIZ-16.md; evidencias/matriz-16.json</t>
        </is>
      </c>
      <c r="K11" t="inlineStr">
        <is>
          <t>Pendente — não registrado pelo executor</t>
        </is>
      </c>
    </row>
    <row r="12">
      <c r="A12" t="inlineStr">
        <is>
          <t>CT11</t>
        </is>
      </c>
      <c r="B12" t="n">
        <v>11</v>
      </c>
      <c r="C12" t="inlineStr">
        <is>
          <t>B/C/D/E</t>
        </is>
      </c>
      <c r="D12" t="inlineStr">
        <is>
          <t>Não</t>
        </is>
      </c>
      <c r="E12" t="inlineStr">
        <is>
          <t>Parcial — pendência técnica mantida</t>
        </is>
      </c>
      <c r="F12" t="inlineStr">
        <is>
          <t>Maior resto e60/40 passam em funções; não há ledger multiobra/versão/aprovador e devolução por obra. Texto de centros concatenados não é rateio monetário.</t>
        </is>
      </c>
      <c r="G12" t="inlineStr">
        <is>
          <t>T17 e persistência multiobra na mesma entidade; D05 operacional. A regra60/40/maior resto da fixture já é explícita e não precisa nova decisão.</t>
        </is>
      </c>
      <c r="H12" t="inlineStr">
        <is>
          <t>3–5 dias</t>
        </is>
      </c>
      <c r="I12" t="inlineStr">
        <is>
          <t>Custo6.000/4.000; caixa1.800/1.200; aberto4.200/2.800;100,01→33,34/33,34/33,33; conservar soma, versão, autoria e devolução por obra.</t>
        </is>
      </c>
      <c r="J12" t="inlineStr">
        <is>
          <t>etapa12-parciais/MATRIZ-16.md; evidencias/matriz-16.json</t>
        </is>
      </c>
      <c r="K12" t="inlineStr">
        <is>
          <t>Pendente — não registrado pelo executor</t>
        </is>
      </c>
    </row>
    <row r="13">
      <c r="A13" t="inlineStr">
        <is>
          <t>CT05</t>
        </is>
      </c>
      <c r="B13" t="n">
        <v>12</v>
      </c>
      <c r="C13" t="inlineStr">
        <is>
          <t>B/C</t>
        </is>
      </c>
      <c r="D13" t="inlineStr">
        <is>
          <t>Não</t>
        </is>
      </c>
      <c r="E13" t="inlineStr">
        <is>
          <t>Parcial — pendência técnica mantida</t>
        </is>
      </c>
      <c r="F13" t="inlineStr">
        <is>
          <t>Pagamento/aplicação/reversão do crédito passam separados; custo/ETC e estadosA–E do mesmo contrato/medição não foram persistidos.</t>
        </is>
      </c>
      <c r="G13" t="inlineStr">
        <is>
          <t>T20/T26 e evento econômico aceito; regra fictícia já distingue adiantamento de execução.</t>
        </is>
      </c>
      <c r="H13" t="inlineStr">
        <is>
          <t>2–3 dias</t>
        </is>
      </c>
      <c r="I13" t="inlineStr">
        <is>
          <t>Q100.000/100.000/80.000/80.000/60.000; custo0/0/0/40.000/40.000; aplicação cria0 caixa; conservarH/R/C/crédito em cada estado.</t>
        </is>
      </c>
      <c r="J13" t="inlineStr">
        <is>
          <t>etapa12-parciais/MATRIZ-16.md; evidencias/matriz-16.json</t>
        </is>
      </c>
      <c r="K13" t="inlineStr">
        <is>
          <t>Pendente — não registrado pelo executor</t>
        </is>
      </c>
    </row>
    <row r="14">
      <c r="A14" t="inlineStr">
        <is>
          <t>CT27</t>
        </is>
      </c>
      <c r="B14" t="n">
        <v>13</v>
      </c>
      <c r="C14" t="inlineStr">
        <is>
          <t>B/C/D</t>
        </is>
      </c>
      <c r="D14" t="inlineStr">
        <is>
          <t>Não</t>
        </is>
      </c>
      <c r="E14" t="inlineStr">
        <is>
          <t>Parcial — pendência técnica mantida</t>
        </is>
      </c>
      <c r="F14" t="inlineStr">
        <is>
          <t>Ainda não há execução integral recebimento20.000/pagamento/consumo8.000 conferindo estoque, custo, ETC eQ.</t>
        </is>
      </c>
      <c r="G14" t="inlineStr">
        <is>
          <t>T22/T28; almoxarifado/consumo e ligação com preço pago. D03 real por natureza, sem mudar consumo já aprovado para a fixture.</t>
        </is>
      </c>
      <c r="H14" t="inlineStr">
        <is>
          <t>2–4 dias</t>
        </is>
      </c>
      <c r="I14" t="inlineStr">
        <is>
          <t>Antes: estoque/ETC/EAC20.000 e custo/Q0; depois custo8.000, estoque/ETC12.000, EAC20.000, Q0, novo caixa0.</t>
        </is>
      </c>
      <c r="J14" t="inlineStr">
        <is>
          <t>etapa12-parciais/MATRIZ-16.md; evidencias/matriz-16.json</t>
        </is>
      </c>
      <c r="K14" t="inlineStr">
        <is>
          <t>Pendente — não registrado pelo executor</t>
        </is>
      </c>
    </row>
    <row r="15">
      <c r="A15" t="inlineStr">
        <is>
          <t>CT04</t>
        </is>
      </c>
      <c r="B15" t="n">
        <v>14</v>
      </c>
      <c r="C15" t="inlineStr">
        <is>
          <t>B/C</t>
        </is>
      </c>
      <c r="D15" t="inlineStr">
        <is>
          <t>Não</t>
        </is>
      </c>
      <c r="E15" t="inlineStr">
        <is>
          <t>Parcial — pendência técnica mantida</t>
        </is>
      </c>
      <c r="F15" t="inlineStr">
        <is>
          <t>Resultados puros de datas/horizontes corretos; falta cadeia econômica/documental persistida e consultas históricas dos canais.</t>
        </is>
      </c>
      <c r="G15" t="inlineStr">
        <is>
          <t>T07/T30; reaproveitar aceite econômicoCT03 e correção temporalCT02, sem dizer que já cobrem CT04.</t>
        </is>
      </c>
      <c r="H15" t="inlineStr">
        <is>
          <t>1–2 dias</t>
        </is>
      </c>
      <c r="I15" t="inlineStr">
        <is>
          <t>Custo setembro10.000; aberto/vencido em21/10=10.000; caixa21=0/22=10.000/novo24=0; faixasR28.000, vencido1.000, hoje2.000,30d3.000,90d12.000, além6.000, semdata7.000.</t>
        </is>
      </c>
      <c r="J15" t="inlineStr">
        <is>
          <t>etapa12-parciais/MATRIZ-16.md; evidencias/matriz-16.json</t>
        </is>
      </c>
      <c r="K15" t="inlineStr">
        <is>
          <t>Pendente — não registrado pelo executor</t>
        </is>
      </c>
    </row>
    <row r="16">
      <c r="A16" t="inlineStr">
        <is>
          <t>CT20</t>
        </is>
      </c>
      <c r="B16" t="n">
        <v>15</v>
      </c>
      <c r="C16" t="inlineStr">
        <is>
          <t>B/C/D</t>
        </is>
      </c>
      <c r="D16" t="inlineStr">
        <is>
          <t>Não</t>
        </is>
      </c>
      <c r="E16" t="inlineStr">
        <is>
          <t>Parcial — pendência técnica mantida</t>
        </is>
      </c>
      <c r="F16" t="inlineStr">
        <is>
          <t>Bloqueio bancário/reimportação fechada não constitui fechamento econômico e retificação gerencial de setembro.</t>
        </is>
      </c>
      <c r="G16" t="inlineStr">
        <is>
          <t>T37 e versões econômicas. D11 operacional: responsável, materialidade, alçadas, vigência. A fixture já presume aprovação gerencial em16/10.</t>
        </is>
      </c>
      <c r="H16" t="inlineStr">
        <is>
          <t>3–5 dias</t>
        </is>
      </c>
      <c r="I16" t="inlineStr">
        <is>
          <t>Original setembro500.000 preservado; reapresentado530.000; ponte30.000; custo novo outubro0; banco outubro30.000; mutações original0.</t>
        </is>
      </c>
      <c r="J16" t="inlineStr">
        <is>
          <t>etapa12-parciais/MATRIZ-16.md; evidencias/matriz-16.json</t>
        </is>
      </c>
      <c r="K16" t="inlineStr">
        <is>
          <t>Pendente — não registrado pelo executor</t>
        </is>
      </c>
    </row>
    <row r="17">
      <c r="A17" t="inlineStr">
        <is>
          <t>CT19</t>
        </is>
      </c>
      <c r="B17" t="n">
        <v>16</v>
      </c>
      <c r="C17" t="inlineStr">
        <is>
          <t>B/C/D</t>
        </is>
      </c>
      <c r="D17" t="inlineStr">
        <is>
          <t>Não</t>
        </is>
      </c>
      <c r="E17" t="inlineStr">
        <is>
          <t>Parcial — pendência técnica mantida</t>
        </is>
      </c>
      <c r="F17" t="inlineStr">
        <is>
          <t>Aditivo e reestimativa passam no cálculo puro; falta trilha de aprovação/vigência/orçamento/risco na persistência.</t>
        </is>
      </c>
      <c r="G17" t="inlineStr">
        <is>
          <t>T25/T27/T28; revisão orçamentária e aditivo aprovados. D10 real: validadeRev03/EAP/preços/responsável, sem usar orçamento como residual deETC.</t>
        </is>
      </c>
      <c r="H17" t="inlineStr">
        <is>
          <t>2–3 dias</t>
        </is>
      </c>
      <c r="I17" t="inlineStr">
        <is>
          <t>Contrato550.000; incorrido450.000; ETC800.000; EAC1.250.000; desvio250.000/25%; proposta40.000 acrescenta0 ao firme e cenário1.290.000.</t>
        </is>
      </c>
      <c r="J17" t="inlineStr">
        <is>
          <t>etapa12-parciais/MATRIZ-16.md; evidencias/matriz-16.json</t>
        </is>
      </c>
      <c r="K17" t="inlineStr">
        <is>
          <t>Pendente — não registrado pelo executor</t>
        </is>
      </c>
    </row>
  </sheetData>
  <autoFilter ref="A1:K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5" max="5"/>
    <col width="55" customWidth="1" min="6" max="6"/>
  </cols>
  <sheetData>
    <row r="1">
      <c r="A1" t="inlineStr">
        <is>
          <t>Caso</t>
        </is>
      </c>
      <c r="B1" t="inlineStr">
        <is>
          <t>Campo</t>
        </is>
      </c>
      <c r="C1" t="inlineStr">
        <is>
          <t>Esperado independente</t>
        </is>
      </c>
      <c r="D1" t="inlineStr">
        <is>
          <t>Obtido</t>
        </is>
      </c>
      <c r="E1" t="inlineStr">
        <is>
          <t>Evidência</t>
        </is>
      </c>
      <c r="F1" t="inlineStr">
        <is>
          <t>Aceite financeiro</t>
        </is>
      </c>
    </row>
    <row r="2">
      <c r="A2" t="inlineStr">
        <is>
          <t>CT02</t>
        </is>
      </c>
      <c r="B2" t="inlineStr">
        <is>
          <t>canonical_title_count</t>
        </is>
      </c>
      <c r="C2" t="n">
        <v>1</v>
      </c>
      <c r="D2" t="n">
        <v>1</v>
      </c>
      <c r="E2" t="inlineStr">
        <is>
          <t>etapa12-parciais/evidencias/comparacao-4.json</t>
        </is>
      </c>
      <c r="F2" t="inlineStr">
        <is>
          <t>Pendente — não preenchido pelo executor</t>
        </is>
      </c>
    </row>
    <row r="3">
      <c r="A3" t="inlineStr">
        <is>
          <t>CT02</t>
        </is>
      </c>
      <c r="B3" t="inlineStr">
        <is>
          <t>original_snapshot_open_cents</t>
        </is>
      </c>
      <c r="C3" t="n">
        <v>1000000</v>
      </c>
      <c r="D3" t="n">
        <v>1000000</v>
      </c>
      <c r="E3" t="inlineStr">
        <is>
          <t>etapa12-parciais/evidencias/comparacao-4.json</t>
        </is>
      </c>
      <c r="F3" t="inlineStr">
        <is>
          <t>Pendente — não preenchido pelo executor</t>
        </is>
      </c>
    </row>
    <row r="4">
      <c r="A4" t="inlineStr">
        <is>
          <t>CT02</t>
        </is>
      </c>
      <c r="B4" t="inlineStr">
        <is>
          <t>revised_snapshot_open_cents</t>
        </is>
      </c>
      <c r="C4" t="n">
        <v>1200000</v>
      </c>
      <c r="D4" t="n">
        <v>1200000</v>
      </c>
      <c r="E4" t="inlineStr">
        <is>
          <t>etapa12-parciais/evidencias/comparacao-4.json</t>
        </is>
      </c>
      <c r="F4" t="inlineStr">
        <is>
          <t>Pendente — não preenchido pelo executor</t>
        </is>
      </c>
    </row>
    <row r="5">
      <c r="A5" t="inlineStr">
        <is>
          <t>CT02</t>
        </is>
      </c>
      <c r="B5" t="inlineStr">
        <is>
          <t>documented_bridge_cents</t>
        </is>
      </c>
      <c r="C5" t="n">
        <v>200000</v>
      </c>
      <c r="D5" t="n">
        <v>200000</v>
      </c>
      <c r="E5" t="inlineStr">
        <is>
          <t>etapa12-parciais/evidencias/comparacao-4.json</t>
        </is>
      </c>
      <c r="F5" t="inlineStr">
        <is>
          <t>Pendente — não preenchido pelo executor</t>
        </is>
      </c>
    </row>
    <row r="6">
      <c r="A6" t="inlineStr">
        <is>
          <t>CT02</t>
        </is>
      </c>
      <c r="B6" t="inlineStr">
        <is>
          <t>at_T_2026_10_21_K_2026_10_20_open_cents</t>
        </is>
      </c>
      <c r="C6" t="n">
        <v>1000000</v>
      </c>
      <c r="D6" t="n">
        <v>1000000</v>
      </c>
      <c r="E6" t="inlineStr">
        <is>
          <t>etapa12-parciais/evidencias/comparacao-4.json</t>
        </is>
      </c>
      <c r="F6" t="inlineStr">
        <is>
          <t>Pendente — não preenchido pelo executor</t>
        </is>
      </c>
    </row>
    <row r="7">
      <c r="A7" t="inlineStr">
        <is>
          <t>CT03</t>
        </is>
      </c>
      <c r="B7" t="inlineStr">
        <is>
          <t>after_P1_open_cents</t>
        </is>
      </c>
      <c r="C7" t="n">
        <v>700000</v>
      </c>
      <c r="D7" t="n">
        <v>700000</v>
      </c>
      <c r="E7" t="inlineStr">
        <is>
          <t>etapa12-parciais/evidencias/comparacao-4.json</t>
        </is>
      </c>
      <c r="F7" t="inlineStr">
        <is>
          <t>Pendente — não preenchido pelo executor</t>
        </is>
      </c>
    </row>
    <row r="8">
      <c r="A8" t="inlineStr">
        <is>
          <t>CT03</t>
        </is>
      </c>
      <c r="B8" t="inlineStr">
        <is>
          <t>after_P2_open_cents</t>
        </is>
      </c>
      <c r="C8" t="n">
        <v>500000</v>
      </c>
      <c r="D8" t="n">
        <v>500000</v>
      </c>
      <c r="E8" t="inlineStr">
        <is>
          <t>etapa12-parciais/evidencias/comparacao-4.json</t>
        </is>
      </c>
      <c r="F8" t="inlineStr">
        <is>
          <t>Pendente — não preenchido pelo executor</t>
        </is>
      </c>
    </row>
    <row r="9">
      <c r="A9" t="inlineStr">
        <is>
          <t>CT03</t>
        </is>
      </c>
      <c r="B9" t="inlineStr">
        <is>
          <t>I02_gross_disbursed_cents</t>
        </is>
      </c>
      <c r="C9" t="n">
        <v>500000</v>
      </c>
      <c r="D9" t="n">
        <v>500000</v>
      </c>
      <c r="E9" t="inlineStr">
        <is>
          <t>etapa12-parciais/evidencias/comparacao-4.json</t>
        </is>
      </c>
      <c r="F9" t="inlineStr">
        <is>
          <t>Pendente — não preenchido pelo executor</t>
        </is>
      </c>
    </row>
    <row r="10">
      <c r="A10" t="inlineStr">
        <is>
          <t>CT03</t>
        </is>
      </c>
      <c r="B10" t="inlineStr">
        <is>
          <t>bank_debit_count</t>
        </is>
      </c>
      <c r="C10" t="n">
        <v>2</v>
      </c>
      <c r="D10" t="n">
        <v>2</v>
      </c>
      <c r="E10" t="inlineStr">
        <is>
          <t>etapa12-parciais/evidencias/comparacao-4.json</t>
        </is>
      </c>
      <c r="F10" t="inlineStr">
        <is>
          <t>Pendente — não preenchido pelo executor</t>
        </is>
      </c>
    </row>
    <row r="11">
      <c r="A11" t="inlineStr">
        <is>
          <t>CT03</t>
        </is>
      </c>
      <c r="B11" t="inlineStr">
        <is>
          <t>payment_count</t>
        </is>
      </c>
      <c r="C11" t="n">
        <v>2</v>
      </c>
      <c r="D11" t="n">
        <v>2</v>
      </c>
      <c r="E11" t="inlineStr">
        <is>
          <t>etapa12-parciais/evidencias/comparacao-4.json</t>
        </is>
      </c>
      <c r="F11" t="inlineStr">
        <is>
          <t>Pendente — não preenchido pelo executor</t>
        </is>
      </c>
    </row>
    <row r="12">
      <c r="A12" t="inlineStr">
        <is>
          <t>CT03</t>
        </is>
      </c>
      <c r="B12" t="inlineStr">
        <is>
          <t>cash_created_by_reconciliation_cents</t>
        </is>
      </c>
      <c r="C12" t="n">
        <v>0</v>
      </c>
      <c r="D12" t="n">
        <v>0</v>
      </c>
      <c r="E12" t="inlineStr">
        <is>
          <t>etapa12-parciais/evidencias/comparacao-4.json</t>
        </is>
      </c>
      <c r="F12" t="inlineStr">
        <is>
          <t>Pendente — não preenchido pelo executor</t>
        </is>
      </c>
    </row>
    <row r="13">
      <c r="A13" t="inlineStr">
        <is>
          <t>CT03</t>
        </is>
      </c>
      <c r="B13" t="inlineStr">
        <is>
          <t>I01_extra_cost_created_by_payments_cents</t>
        </is>
      </c>
      <c r="C13" t="n">
        <v>0</v>
      </c>
      <c r="D13" t="n">
        <v>0</v>
      </c>
      <c r="E13" t="inlineStr">
        <is>
          <t>etapa12-parciais/evidencias/comparacao-4.json</t>
        </is>
      </c>
      <c r="F13" t="inlineStr">
        <is>
          <t>Pendente — não preenchido pelo executor</t>
        </is>
      </c>
    </row>
    <row r="14">
      <c r="A14" t="inlineStr">
        <is>
          <t>CT18</t>
        </is>
      </c>
      <c r="B14" t="inlineStr">
        <is>
          <t>states[A].R_cents</t>
        </is>
      </c>
      <c r="C14" t="n">
        <v>0</v>
      </c>
      <c r="D14" t="n">
        <v>0</v>
      </c>
      <c r="E14" t="inlineStr">
        <is>
          <t>etapa12-parciais/evidencias/comparacao-4.json</t>
        </is>
      </c>
      <c r="F14" t="inlineStr">
        <is>
          <t>Pendente — não preenchido pelo executor</t>
        </is>
      </c>
    </row>
    <row r="15">
      <c r="A15" t="inlineStr">
        <is>
          <t>CT18</t>
        </is>
      </c>
      <c r="B15" t="inlineStr">
        <is>
          <t>states[A].C_cents</t>
        </is>
      </c>
      <c r="C15" t="n">
        <v>0</v>
      </c>
      <c r="D15" t="n">
        <v>0</v>
      </c>
      <c r="E15" t="inlineStr">
        <is>
          <t>etapa12-parciais/evidencias/comparacao-4.json</t>
        </is>
      </c>
      <c r="F15" t="inlineStr">
        <is>
          <t>Pendente — não preenchido pelo executor</t>
        </is>
      </c>
    </row>
    <row r="16">
      <c r="A16" t="inlineStr">
        <is>
          <t>CT18</t>
        </is>
      </c>
      <c r="B16" t="inlineStr">
        <is>
          <t>states[A].P_cents</t>
        </is>
      </c>
      <c r="C16" t="n">
        <v>10000000</v>
      </c>
      <c r="D16" t="n">
        <v>10000000</v>
      </c>
      <c r="E16" t="inlineStr">
        <is>
          <t>etapa12-parciais/evidencias/comparacao-4.json</t>
        </is>
      </c>
      <c r="F16" t="inlineStr">
        <is>
          <t>Pendente — não preenchido pelo executor</t>
        </is>
      </c>
    </row>
    <row r="17">
      <c r="A17" t="inlineStr">
        <is>
          <t>CT18</t>
        </is>
      </c>
      <c r="B17" t="inlineStr">
        <is>
          <t>states[A].Q_cents</t>
        </is>
      </c>
      <c r="C17" t="n">
        <v>10000000</v>
      </c>
      <c r="D17" t="n">
        <v>10000000</v>
      </c>
      <c r="E17" t="inlineStr">
        <is>
          <t>etapa12-parciais/evidencias/comparacao-4.json</t>
        </is>
      </c>
      <c r="F17" t="inlineStr">
        <is>
          <t>Pendente — não preenchido pelo executor</t>
        </is>
      </c>
    </row>
    <row r="18">
      <c r="A18" t="inlineStr">
        <is>
          <t>CT18</t>
        </is>
      </c>
      <c r="B18" t="inlineStr">
        <is>
          <t>states[A].AF_cents</t>
        </is>
      </c>
      <c r="C18" t="n">
        <v>0</v>
      </c>
      <c r="D18" t="n">
        <v>0</v>
      </c>
      <c r="E18" t="inlineStr">
        <is>
          <t>etapa12-parciais/evidencias/comparacao-4.json</t>
        </is>
      </c>
      <c r="F18" t="inlineStr">
        <is>
          <t>Pendente — não preenchido pelo executor</t>
        </is>
      </c>
    </row>
    <row r="19">
      <c r="A19" t="inlineStr">
        <is>
          <t>CT18</t>
        </is>
      </c>
      <c r="B19" t="inlineStr">
        <is>
          <t>states[B].R_cents</t>
        </is>
      </c>
      <c r="C19" t="n">
        <v>0</v>
      </c>
      <c r="D19" t="n">
        <v>0</v>
      </c>
      <c r="E19" t="inlineStr">
        <is>
          <t>etapa12-parciais/evidencias/comparacao-4.json</t>
        </is>
      </c>
      <c r="F19" t="inlineStr">
        <is>
          <t>Pendente — não preenchido pelo executor</t>
        </is>
      </c>
    </row>
    <row r="20">
      <c r="A20" t="inlineStr">
        <is>
          <t>CT18</t>
        </is>
      </c>
      <c r="B20" t="inlineStr">
        <is>
          <t>states[B].C_cents</t>
        </is>
      </c>
      <c r="C20" t="n">
        <v>6000000</v>
      </c>
      <c r="D20" t="n">
        <v>6000000</v>
      </c>
      <c r="E20" t="inlineStr">
        <is>
          <t>etapa12-parciais/evidencias/comparacao-4.json</t>
        </is>
      </c>
      <c r="F20" t="inlineStr">
        <is>
          <t>Pendente — não preenchido pelo executor</t>
        </is>
      </c>
    </row>
    <row r="21">
      <c r="A21" t="inlineStr">
        <is>
          <t>CT18</t>
        </is>
      </c>
      <c r="B21" t="inlineStr">
        <is>
          <t>states[B].P_cents</t>
        </is>
      </c>
      <c r="C21" t="n">
        <v>4000000</v>
      </c>
      <c r="D21" t="n">
        <v>4000000</v>
      </c>
      <c r="E21" t="inlineStr">
        <is>
          <t>etapa12-parciais/evidencias/comparacao-4.json</t>
        </is>
      </c>
      <c r="F21" t="inlineStr">
        <is>
          <t>Pendente — não preenchido pelo executor</t>
        </is>
      </c>
    </row>
    <row r="22">
      <c r="A22" t="inlineStr">
        <is>
          <t>CT18</t>
        </is>
      </c>
      <c r="B22" t="inlineStr">
        <is>
          <t>states[B].Q_cents</t>
        </is>
      </c>
      <c r="C22" t="n">
        <v>10000000</v>
      </c>
      <c r="D22" t="n">
        <v>10000000</v>
      </c>
      <c r="E22" t="inlineStr">
        <is>
          <t>etapa12-parciais/evidencias/comparacao-4.json</t>
        </is>
      </c>
      <c r="F22" t="inlineStr">
        <is>
          <t>Pendente — não preenchido pelo executor</t>
        </is>
      </c>
    </row>
    <row r="23">
      <c r="A23" t="inlineStr">
        <is>
          <t>CT18</t>
        </is>
      </c>
      <c r="B23" t="inlineStr">
        <is>
          <t>states[B].AF_cents</t>
        </is>
      </c>
      <c r="C23" t="n">
        <v>0</v>
      </c>
      <c r="D23" t="n">
        <v>0</v>
      </c>
      <c r="E23" t="inlineStr">
        <is>
          <t>etapa12-parciais/evidencias/comparacao-4.json</t>
        </is>
      </c>
      <c r="F23" t="inlineStr">
        <is>
          <t>Pendente — não preenchido pelo executor</t>
        </is>
      </c>
    </row>
    <row r="24">
      <c r="A24" t="inlineStr">
        <is>
          <t>CT18</t>
        </is>
      </c>
      <c r="B24" t="inlineStr">
        <is>
          <t>states[C].R_cents</t>
        </is>
      </c>
      <c r="C24" t="n">
        <v>2000000</v>
      </c>
      <c r="D24" t="n">
        <v>2000000</v>
      </c>
      <c r="E24" t="inlineStr">
        <is>
          <t>etapa12-parciais/evidencias/comparacao-4.json</t>
        </is>
      </c>
      <c r="F24" t="inlineStr">
        <is>
          <t>Pendente — não preenchido pelo executor</t>
        </is>
      </c>
    </row>
    <row r="25">
      <c r="A25" t="inlineStr">
        <is>
          <t>CT18</t>
        </is>
      </c>
      <c r="B25" t="inlineStr">
        <is>
          <t>states[C].C_cents</t>
        </is>
      </c>
      <c r="C25" t="n">
        <v>4000000</v>
      </c>
      <c r="D25" t="n">
        <v>4000000</v>
      </c>
      <c r="E25" t="inlineStr">
        <is>
          <t>etapa12-parciais/evidencias/comparacao-4.json</t>
        </is>
      </c>
      <c r="F25" t="inlineStr">
        <is>
          <t>Pendente — não preenchido pelo executor</t>
        </is>
      </c>
    </row>
    <row r="26">
      <c r="A26" t="inlineStr">
        <is>
          <t>CT18</t>
        </is>
      </c>
      <c r="B26" t="inlineStr">
        <is>
          <t>states[C].P_cents</t>
        </is>
      </c>
      <c r="C26" t="n">
        <v>4000000</v>
      </c>
      <c r="D26" t="n">
        <v>4000000</v>
      </c>
      <c r="E26" t="inlineStr">
        <is>
          <t>etapa12-parciais/evidencias/comparacao-4.json</t>
        </is>
      </c>
      <c r="F26" t="inlineStr">
        <is>
          <t>Pendente — não preenchido pelo executor</t>
        </is>
      </c>
    </row>
    <row r="27">
      <c r="A27" t="inlineStr">
        <is>
          <t>CT18</t>
        </is>
      </c>
      <c r="B27" t="inlineStr">
        <is>
          <t>states[C].Q_cents</t>
        </is>
      </c>
      <c r="C27" t="n">
        <v>10000000</v>
      </c>
      <c r="D27" t="n">
        <v>10000000</v>
      </c>
      <c r="E27" t="inlineStr">
        <is>
          <t>etapa12-parciais/evidencias/comparacao-4.json</t>
        </is>
      </c>
      <c r="F27" t="inlineStr">
        <is>
          <t>Pendente — não preenchido pelo executor</t>
        </is>
      </c>
    </row>
    <row r="28">
      <c r="A28" t="inlineStr">
        <is>
          <t>CT18</t>
        </is>
      </c>
      <c r="B28" t="inlineStr">
        <is>
          <t>states[C].AF_cents</t>
        </is>
      </c>
      <c r="C28" t="n">
        <v>0</v>
      </c>
      <c r="D28" t="n">
        <v>0</v>
      </c>
      <c r="E28" t="inlineStr">
        <is>
          <t>etapa12-parciais/evidencias/comparacao-4.json</t>
        </is>
      </c>
      <c r="F28" t="inlineStr">
        <is>
          <t>Pendente — não preenchido pelo executor</t>
        </is>
      </c>
    </row>
    <row r="29">
      <c r="A29" t="inlineStr">
        <is>
          <t>CT18</t>
        </is>
      </c>
      <c r="B29" t="inlineStr">
        <is>
          <t>states[D].R_cents</t>
        </is>
      </c>
      <c r="C29" t="n">
        <v>1500000</v>
      </c>
      <c r="D29" t="n">
        <v>1500000</v>
      </c>
      <c r="E29" t="inlineStr">
        <is>
          <t>etapa12-parciais/evidencias/comparacao-4.json</t>
        </is>
      </c>
      <c r="F29" t="inlineStr">
        <is>
          <t>Pendente — não preenchido pelo executor</t>
        </is>
      </c>
    </row>
    <row r="30">
      <c r="A30" t="inlineStr">
        <is>
          <t>CT18</t>
        </is>
      </c>
      <c r="B30" t="inlineStr">
        <is>
          <t>states[D].C_cents</t>
        </is>
      </c>
      <c r="C30" t="n">
        <v>4000000</v>
      </c>
      <c r="D30" t="n">
        <v>4000000</v>
      </c>
      <c r="E30" t="inlineStr">
        <is>
          <t>etapa12-parciais/evidencias/comparacao-4.json</t>
        </is>
      </c>
      <c r="F30" t="inlineStr">
        <is>
          <t>Pendente — não preenchido pelo executor</t>
        </is>
      </c>
    </row>
    <row r="31">
      <c r="A31" t="inlineStr">
        <is>
          <t>CT18</t>
        </is>
      </c>
      <c r="B31" t="inlineStr">
        <is>
          <t>states[D].P_cents</t>
        </is>
      </c>
      <c r="C31" t="n">
        <v>4000000</v>
      </c>
      <c r="D31" t="n">
        <v>4000000</v>
      </c>
      <c r="E31" t="inlineStr">
        <is>
          <t>etapa12-parciais/evidencias/comparacao-4.json</t>
        </is>
      </c>
      <c r="F31" t="inlineStr">
        <is>
          <t>Pendente — não preenchido pelo executor</t>
        </is>
      </c>
    </row>
    <row r="32">
      <c r="A32" t="inlineStr">
        <is>
          <t>CT18</t>
        </is>
      </c>
      <c r="B32" t="inlineStr">
        <is>
          <t>states[D].Q_cents</t>
        </is>
      </c>
      <c r="C32" t="n">
        <v>9500000</v>
      </c>
      <c r="D32" t="n">
        <v>9500000</v>
      </c>
      <c r="E32" t="inlineStr">
        <is>
          <t>etapa12-parciais/evidencias/comparacao-4.json</t>
        </is>
      </c>
      <c r="F32" t="inlineStr">
        <is>
          <t>Pendente — não preenchido pelo executor</t>
        </is>
      </c>
    </row>
    <row r="33">
      <c r="A33" t="inlineStr">
        <is>
          <t>CT18</t>
        </is>
      </c>
      <c r="B33" t="inlineStr">
        <is>
          <t>states[D].AF_cents</t>
        </is>
      </c>
      <c r="C33" t="n">
        <v>0</v>
      </c>
      <c r="D33" t="n">
        <v>0</v>
      </c>
      <c r="E33" t="inlineStr">
        <is>
          <t>etapa12-parciais/evidencias/comparacao-4.json</t>
        </is>
      </c>
      <c r="F33" t="inlineStr">
        <is>
          <t>Pendente — não preenchido pelo executor</t>
        </is>
      </c>
    </row>
    <row r="34">
      <c r="A34" t="inlineStr">
        <is>
          <t>CT18</t>
        </is>
      </c>
      <c r="B34" t="inlineStr">
        <is>
          <t>states[E].R_cents</t>
        </is>
      </c>
      <c r="C34" t="n">
        <v>1500000</v>
      </c>
      <c r="D34" t="n">
        <v>1500000</v>
      </c>
      <c r="E34" t="inlineStr">
        <is>
          <t>etapa12-parciais/evidencias/comparacao-4.json</t>
        </is>
      </c>
      <c r="F34" t="inlineStr">
        <is>
          <t>Pendente — não preenchido pelo executor</t>
        </is>
      </c>
    </row>
    <row r="35">
      <c r="A35" t="inlineStr">
        <is>
          <t>CT18</t>
        </is>
      </c>
      <c r="B35" t="inlineStr">
        <is>
          <t>states[E].C_cents</t>
        </is>
      </c>
      <c r="C35" t="n">
        <v>4000000</v>
      </c>
      <c r="D35" t="n">
        <v>4000000</v>
      </c>
      <c r="E35" t="inlineStr">
        <is>
          <t>etapa12-parciais/evidencias/comparacao-4.json</t>
        </is>
      </c>
      <c r="F35" t="inlineStr">
        <is>
          <t>Pendente — não preenchido pelo executor</t>
        </is>
      </c>
    </row>
    <row r="36">
      <c r="A36" t="inlineStr">
        <is>
          <t>CT18</t>
        </is>
      </c>
      <c r="B36" t="inlineStr">
        <is>
          <t>states[E].P_cents</t>
        </is>
      </c>
      <c r="C36" t="n">
        <v>4000000</v>
      </c>
      <c r="D36" t="n">
        <v>4000000</v>
      </c>
      <c r="E36" t="inlineStr">
        <is>
          <t>etapa12-parciais/evidencias/comparacao-4.json</t>
        </is>
      </c>
      <c r="F36" t="inlineStr">
        <is>
          <t>Pendente — não preenchido pelo executor</t>
        </is>
      </c>
    </row>
    <row r="37">
      <c r="A37" t="inlineStr">
        <is>
          <t>CT18</t>
        </is>
      </c>
      <c r="B37" t="inlineStr">
        <is>
          <t>states[E].Q_cents</t>
        </is>
      </c>
      <c r="C37" t="n">
        <v>9500000</v>
      </c>
      <c r="D37" t="n">
        <v>9500000</v>
      </c>
      <c r="E37" t="inlineStr">
        <is>
          <t>etapa12-parciais/evidencias/comparacao-4.json</t>
        </is>
      </c>
      <c r="F37" t="inlineStr">
        <is>
          <t>Pendente — não preenchido pelo executor</t>
        </is>
      </c>
    </row>
    <row r="38">
      <c r="A38" t="inlineStr">
        <is>
          <t>CT18</t>
        </is>
      </c>
      <c r="B38" t="inlineStr">
        <is>
          <t>states[E].AF_cents</t>
        </is>
      </c>
      <c r="C38" t="n">
        <v>200000</v>
      </c>
      <c r="D38" t="n">
        <v>200000</v>
      </c>
      <c r="E38" t="inlineStr">
        <is>
          <t>etapa12-parciais/evidencias/comparacao-4.json</t>
        </is>
      </c>
      <c r="F38" t="inlineStr">
        <is>
          <t>Pendente — não preenchido pelo executor</t>
        </is>
      </c>
    </row>
    <row r="39">
      <c r="A39" t="inlineStr">
        <is>
          <t>CT18</t>
        </is>
      </c>
      <c r="B39" t="inlineStr">
        <is>
          <t>states[E].Q_scenario_cents</t>
        </is>
      </c>
      <c r="C39" t="n">
        <v>9700000</v>
      </c>
      <c r="D39" t="n">
        <v>9700000</v>
      </c>
      <c r="E39" t="inlineStr">
        <is>
          <t>etapa12-parciais/evidencias/comparacao-4.json</t>
        </is>
      </c>
      <c r="F39" t="inlineStr">
        <is>
          <t>Pendente — não preenchido pelo executor</t>
        </is>
      </c>
    </row>
    <row r="40">
      <c r="A40" t="inlineStr">
        <is>
          <t>CT18</t>
        </is>
      </c>
      <c r="B40" t="inlineStr">
        <is>
          <t>states[F].R_cents</t>
        </is>
      </c>
      <c r="C40" t="n">
        <v>1700000</v>
      </c>
      <c r="D40" t="n">
        <v>1700000</v>
      </c>
      <c r="E40" t="inlineStr">
        <is>
          <t>etapa12-parciais/evidencias/comparacao-4.json</t>
        </is>
      </c>
      <c r="F40" t="inlineStr">
        <is>
          <t>Pendente — não preenchido pelo executor</t>
        </is>
      </c>
    </row>
    <row r="41">
      <c r="A41" t="inlineStr">
        <is>
          <t>CT18</t>
        </is>
      </c>
      <c r="B41" t="inlineStr">
        <is>
          <t>states[F].C_cents</t>
        </is>
      </c>
      <c r="C41" t="n">
        <v>4000000</v>
      </c>
      <c r="D41" t="n">
        <v>4000000</v>
      </c>
      <c r="E41" t="inlineStr">
        <is>
          <t>etapa12-parciais/evidencias/comparacao-4.json</t>
        </is>
      </c>
      <c r="F41" t="inlineStr">
        <is>
          <t>Pendente — não preenchido pelo executor</t>
        </is>
      </c>
    </row>
    <row r="42">
      <c r="A42" t="inlineStr">
        <is>
          <t>CT18</t>
        </is>
      </c>
      <c r="B42" t="inlineStr">
        <is>
          <t>states[F].P_cents</t>
        </is>
      </c>
      <c r="C42" t="n">
        <v>4000000</v>
      </c>
      <c r="D42" t="n">
        <v>4000000</v>
      </c>
      <c r="E42" t="inlineStr">
        <is>
          <t>etapa12-parciais/evidencias/comparacao-4.json</t>
        </is>
      </c>
      <c r="F42" t="inlineStr">
        <is>
          <t>Pendente — não preenchido pelo executor</t>
        </is>
      </c>
    </row>
    <row r="43">
      <c r="A43" t="inlineStr">
        <is>
          <t>CT18</t>
        </is>
      </c>
      <c r="B43" t="inlineStr">
        <is>
          <t>states[F].Q_cents</t>
        </is>
      </c>
      <c r="C43" t="n">
        <v>9700000</v>
      </c>
      <c r="D43" t="n">
        <v>9700000</v>
      </c>
      <c r="E43" t="inlineStr">
        <is>
          <t>etapa12-parciais/evidencias/comparacao-4.json</t>
        </is>
      </c>
      <c r="F43" t="inlineStr">
        <is>
          <t>Pendente — não preenchido pelo executor</t>
        </is>
      </c>
    </row>
    <row r="44">
      <c r="A44" t="inlineStr">
        <is>
          <t>CT18</t>
        </is>
      </c>
      <c r="B44" t="inlineStr">
        <is>
          <t>states[F].AF_cents</t>
        </is>
      </c>
      <c r="C44" t="n">
        <v>0</v>
      </c>
      <c r="D44" t="n">
        <v>0</v>
      </c>
      <c r="E44" t="inlineStr">
        <is>
          <t>etapa12-parciais/evidencias/comparacao-4.json</t>
        </is>
      </c>
      <c r="F44" t="inlineStr">
        <is>
          <t>Pendente — não preenchido pelo executor</t>
        </is>
      </c>
    </row>
    <row r="45">
      <c r="A45" t="inlineStr">
        <is>
          <t>CT18</t>
        </is>
      </c>
      <c r="B45" t="inlineStr">
        <is>
          <t>states[F].Q_scenario_cents</t>
        </is>
      </c>
      <c r="C45" t="n">
        <v>9700000</v>
      </c>
      <c r="D45" t="n">
        <v>9700000</v>
      </c>
      <c r="E45" t="inlineStr">
        <is>
          <t>etapa12-parciais/evidencias/comparacao-4.json</t>
        </is>
      </c>
      <c r="F45" t="inlineStr">
        <is>
          <t>Pendente — não preenchido pelo executor</t>
        </is>
      </c>
    </row>
    <row r="46">
      <c r="A46" t="inlineStr">
        <is>
          <t>CT29</t>
        </is>
      </c>
      <c r="B46" t="inlineStr">
        <is>
          <t>available_opening_cents</t>
        </is>
      </c>
      <c r="C46" t="n">
        <v>10000000</v>
      </c>
      <c r="D46" t="n">
        <v>10000000</v>
      </c>
      <c r="E46" t="inlineStr">
        <is>
          <t>etapa12-parciais/evidencias/comparacao-4.json</t>
        </is>
      </c>
      <c r="F46" t="inlineStr">
        <is>
          <t>Pendente — não preenchido pelo executor</t>
        </is>
      </c>
    </row>
    <row r="47">
      <c r="A47" t="inlineStr">
        <is>
          <t>CT29</t>
        </is>
      </c>
      <c r="B47" t="inlineStr">
        <is>
          <t>closing_month1_cents</t>
        </is>
      </c>
      <c r="C47" t="n">
        <v>4000000</v>
      </c>
      <c r="D47" t="n">
        <v>4000000</v>
      </c>
      <c r="E47" t="inlineStr">
        <is>
          <t>etapa12-parciais/evidencias/comparacao-4.json</t>
        </is>
      </c>
      <c r="F47" t="inlineStr">
        <is>
          <t>Pendente — não preenchido pelo executor</t>
        </is>
      </c>
    </row>
    <row r="48">
      <c r="A48" t="inlineStr">
        <is>
          <t>CT29</t>
        </is>
      </c>
      <c r="B48" t="inlineStr">
        <is>
          <t>closing_month2_cents</t>
        </is>
      </c>
      <c r="C48" t="n">
        <v>-3000000</v>
      </c>
      <c r="D48" t="n">
        <v>-3000000</v>
      </c>
      <c r="E48" t="inlineStr">
        <is>
          <t>etapa12-parciais/evidencias/comparacao-4.json</t>
        </is>
      </c>
      <c r="F48" t="inlineStr">
        <is>
          <t>Pendente — não preenchido pelo executor</t>
        </is>
      </c>
    </row>
    <row r="49">
      <c r="A49" t="inlineStr">
        <is>
          <t>CT29</t>
        </is>
      </c>
      <c r="B49" t="inlineStr">
        <is>
          <t>peak_additional_funding_cents</t>
        </is>
      </c>
      <c r="C49" t="n">
        <v>5000000</v>
      </c>
      <c r="D49" t="n">
        <v>5000000</v>
      </c>
      <c r="E49" t="inlineStr">
        <is>
          <t>etapa12-parciais/evidencias/comparacao-4.json</t>
        </is>
      </c>
      <c r="F49" t="inlineStr">
        <is>
          <t>Pendente — não preenchido pelo executor</t>
        </is>
      </c>
    </row>
    <row r="50">
      <c r="A50" t="inlineStr">
        <is>
          <t>CT29</t>
        </is>
      </c>
      <c r="B50" t="inlineStr">
        <is>
          <t>additional_amortization_duplicate_cents</t>
        </is>
      </c>
      <c r="C50" t="n">
        <v>0</v>
      </c>
      <c r="D50" t="n">
        <v>0</v>
      </c>
      <c r="E50" t="inlineStr">
        <is>
          <t>etapa12-parciais/evidencias/comparacao-4.json</t>
        </is>
      </c>
      <c r="F50" t="inlineStr">
        <is>
          <t>Pendente — não preenchido pelo executor</t>
        </is>
      </c>
    </row>
    <row r="51">
      <c r="A51" t="inlineStr">
        <is>
          <t>CT29</t>
        </is>
      </c>
      <c r="B51" t="inlineStr">
        <is>
          <t>unused_limit_in_available_cash_cents</t>
        </is>
      </c>
      <c r="C51" t="n">
        <v>0</v>
      </c>
      <c r="D51" t="n">
        <v>0</v>
      </c>
      <c r="E51" t="inlineStr">
        <is>
          <t>etapa12-parciais/evidencias/comparacao-4.json</t>
        </is>
      </c>
      <c r="F51" t="inlineStr">
        <is>
          <t>Pendente — não preenchido pelo executor</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2026-10-22T18:39:00Z</dcterms:modified>
</cp:coreProperties>
</file>